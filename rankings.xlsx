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b Ratings" sheetId="1" r:id="rId5"/>
    <sheet state="visible" name="Alumni Stats" sheetId="2" r:id="rId6"/>
    <sheet state="visible" name="STATS" sheetId="3" r:id="rId7"/>
  </sheets>
  <definedNames>
    <definedName hidden="1" localSheetId="0" name="_xlnm._FilterDatabase">'Pub Ratings'!$A$1:$N$209</definedName>
    <definedName hidden="1" localSheetId="1" name="_xlnm._FilterDatabase">'Alumni Stats'!$A$1:$E$19</definedName>
  </definedNames>
  <calcPr/>
</workbook>
</file>

<file path=xl/sharedStrings.xml><?xml version="1.0" encoding="utf-8"?>
<sst xmlns="http://schemas.openxmlformats.org/spreadsheetml/2006/main" count="947" uniqueCount="557">
  <si>
    <t>Pub Name</t>
  </si>
  <si>
    <t>Location</t>
  </si>
  <si>
    <t>Price</t>
  </si>
  <si>
    <t>Date of Visit</t>
  </si>
  <si>
    <t>Alumni Present</t>
  </si>
  <si>
    <t>Taste</t>
  </si>
  <si>
    <t>Texture</t>
  </si>
  <si>
    <t xml:space="preserve">Stickage </t>
  </si>
  <si>
    <t>Head to Body Ratio</t>
  </si>
  <si>
    <t>Pub Character</t>
  </si>
  <si>
    <t>Overall Score</t>
  </si>
  <si>
    <t>Comments</t>
  </si>
  <si>
    <t>Woke?</t>
  </si>
  <si>
    <t>Overall Score (No Stickage)</t>
  </si>
  <si>
    <t>John Kehoe's</t>
  </si>
  <si>
    <t>South (City)</t>
  </si>
  <si>
    <t>Adam, Cam, Fred, Martin, Saul</t>
  </si>
  <si>
    <t>The Long Hall</t>
  </si>
  <si>
    <t>Cam, Fred, Kevin, Martin, Manus, Saul</t>
  </si>
  <si>
    <t>The Palace Bar</t>
  </si>
  <si>
    <t>Unknown</t>
  </si>
  <si>
    <t>Alan, Cameron, Saul, Sophie</t>
  </si>
  <si>
    <t>"What an excellent pint. Delish creamy pint and a lovely pub atmosphere which I would like to grow old in. A nice dublin pub" - Sophie, "coffee" - Saul</t>
  </si>
  <si>
    <t>The Confession Box</t>
  </si>
  <si>
    <t>North (City)</t>
  </si>
  <si>
    <t>Adam, Cam, Martin, Saul</t>
  </si>
  <si>
    <t>The Stag's Head</t>
  </si>
  <si>
    <t>Cam,  Fred, Kevin, Martin, Saul</t>
  </si>
  <si>
    <t>Chaplins</t>
  </si>
  <si>
    <t>Alan, Cam, Martin, Saul</t>
  </si>
  <si>
    <t>Smooth yet slightly watery towards the end. A lovely sweet smell of coffee, a tad cold but excellent domage and a nice firm head. The stickage did wonders for the score of this pint and taste brought it up big time. Chaplin's is a lovely intimate vibe perfect for a few quiet ones with the lads in the evening and a few more lively pints at night. Staff are always friendly and you can tell the owners care about the place.</t>
  </si>
  <si>
    <t>Bowe's</t>
  </si>
  <si>
    <t>Adam, Cameron, Matthew, Saul, Sophie</t>
  </si>
  <si>
    <t>"nice tasty Guinness" - Matthew</t>
  </si>
  <si>
    <t>Mooney's</t>
  </si>
  <si>
    <t>Uncle Tom's Cabin</t>
  </si>
  <si>
    <t>South</t>
  </si>
  <si>
    <t>Manus, Mark, Martin, Matthew, Saul</t>
  </si>
  <si>
    <t>"from the looks of it every man here had the name Mick" - Martin, "a cabin of dreams" - Matthew, "funny place" - Manus</t>
  </si>
  <si>
    <t>The Manhattan (Raheny)</t>
  </si>
  <si>
    <t>North</t>
  </si>
  <si>
    <t>Cam, Mark, Martin, Podge</t>
  </si>
  <si>
    <t xml:space="preserve">Annesley House </t>
  </si>
  <si>
    <t>Cam, Martin, Matthew, Podge, Saul, Sophie</t>
  </si>
  <si>
    <t>"A truly Irish House.
Annesley House.
Crown Moldings.
Wall Molding.
Bar man drinking.
Old man sinking.
A happy place. 
A cheap pint.
A great find." - Martin</t>
  </si>
  <si>
    <t>Paddy Kearney's</t>
  </si>
  <si>
    <t>Alan, Kevin, Martin, Saul</t>
  </si>
  <si>
    <t>"Ooh Ah Up The" - Martin, "RA" - Alan</t>
  </si>
  <si>
    <t>No</t>
  </si>
  <si>
    <t>Patrick Carthy &amp; Sons</t>
  </si>
  <si>
    <t>Alan, Martin, Manus, Saul</t>
  </si>
  <si>
    <t>The Dame Tavern</t>
  </si>
  <si>
    <t>Cam, Kevin, Martin, Manus, Saul</t>
  </si>
  <si>
    <t xml:space="preserve">Millmount House </t>
  </si>
  <si>
    <t>Alan, Matthew, Podge, Saul</t>
  </si>
  <si>
    <t xml:space="preserve">The Glimmerman </t>
  </si>
  <si>
    <t>Martin, Matthew, Podge, Saul</t>
  </si>
  <si>
    <t xml:space="preserve">Walsh's </t>
  </si>
  <si>
    <t>Glynns</t>
  </si>
  <si>
    <t>Adam, Cam, Kevin, Mark, Martin, Saul</t>
  </si>
  <si>
    <t>"the most dublin pub of all time" - Saul, "the strippers have arrived" - Cam, "chlorine stench. Sour cranberries" - Martin, "the locals were so sweet" - Adam</t>
  </si>
  <si>
    <t>O'Loughlin's</t>
  </si>
  <si>
    <t>Mark, Martin, Matthew, Podge, Saul, Sophie</t>
  </si>
  <si>
    <t>Doyle's</t>
  </si>
  <si>
    <t>Adam, Cam, Fred, Mark, Martin, Saul</t>
  </si>
  <si>
    <t>Harry Byrne's</t>
  </si>
  <si>
    <t>Cam, Matthew, Podge, Saul, Sophie</t>
  </si>
  <si>
    <t>Kitty Kiernan's</t>
  </si>
  <si>
    <t>Adam, Cam, Mark, Martin, Podge, Saul</t>
  </si>
  <si>
    <t>The Beachcomber</t>
  </si>
  <si>
    <t>Cam, Mark, Martin, Saul</t>
  </si>
  <si>
    <t>McNeill's (Howth)</t>
  </si>
  <si>
    <t>Adam, Martin, Matthew, Saul</t>
  </si>
  <si>
    <t>"Alan is an idiot" - Matthew, "Got Sharked" - Martin</t>
  </si>
  <si>
    <t>Mary's</t>
  </si>
  <si>
    <t>Adam, Fred, Martin, Saul</t>
  </si>
  <si>
    <t xml:space="preserve">The Flowing Tide </t>
  </si>
  <si>
    <t xml:space="preserve">North (City)      </t>
  </si>
  <si>
    <t>Adam, Cam, Mark, Martin</t>
  </si>
  <si>
    <t>Grogan's</t>
  </si>
  <si>
    <t>Adam, Martin, Podge, Saul</t>
  </si>
  <si>
    <t>Smyths</t>
  </si>
  <si>
    <t>Alan, Fred, Kevin, Martin, Matthew, Padraig, Saul</t>
  </si>
  <si>
    <t>"Is that your jacket 🙄" - Martin, "Hand dryer not branded but powerful" - Padraig</t>
  </si>
  <si>
    <t>Kavanagh's (Clontarf)</t>
  </si>
  <si>
    <t>Cam, Martin, Matthew, Podge, Saul</t>
  </si>
  <si>
    <t>"that'll do" - Martin</t>
  </si>
  <si>
    <t>The Boar's Head</t>
  </si>
  <si>
    <t>Martin, Matthew, Saul, Sophie</t>
  </si>
  <si>
    <t>"Capel st giving me that Asian flush (I did big poo after noodles)" - Martin, "The tourist table is the best spot in this place" - Sophie</t>
  </si>
  <si>
    <t>Horse and Hound</t>
  </si>
  <si>
    <t>"They got KEVIN O’SULLIVAN to play. The KEVIN O’SULLIVAN. Yeah, that KEVIN O’SULLIVAN, the one they you’re thinking about. Famous singer KEVIN O’SULLIVAN. Shedding on the electric, KEVIN O’SULLIVAN. Not Adam O’Sullivan. KEVIN O’SULLIVAN" - Martin, "atc cooking styll" - Padraig</t>
  </si>
  <si>
    <t>The Old Punch Bowl</t>
  </si>
  <si>
    <t>Adam, Fred, Kevin, Mark, Martin, Padraig, Saul, Sophie</t>
  </si>
  <si>
    <t>"Good decor and hagrid core" - Padraig</t>
  </si>
  <si>
    <t>The Bridge Tavern</t>
  </si>
  <si>
    <t>Alan, Cameron, Mark, Martin, Saul</t>
  </si>
  <si>
    <t>"u-n-i t-e-d United are the team for me" - Saul, "call an ambulance but not for me" - Martin</t>
  </si>
  <si>
    <t>Cassidy's (Westmoreland)</t>
  </si>
  <si>
    <t>Dudley's</t>
  </si>
  <si>
    <t>Cam, Fred, Kevin, Martin, Ruairí, Saul</t>
  </si>
  <si>
    <t>"Walking stick theory wouldn't fly somewhere this woke" - Martin. Note: Ruairí failed to rate H2B and Kevin failed to rate stickage</t>
  </si>
  <si>
    <t>Half woke</t>
  </si>
  <si>
    <t>Mulligan's</t>
  </si>
  <si>
    <t>A regular haunt of mine, I know the barmen well and its been a Farrelly pub for generations. The atmosphere is always fantastic, just a classic of Dublin. The pint was smooth, creamy and well balanced. Nice temperature and deliciously malty for whatever reason, however it wasn't quite as good as expected, I've had better in there. The stickage was very poor and the head to body ratio wasn't up to the standards we've come to expect from Mulligan's</t>
  </si>
  <si>
    <t>Ukiyo**</t>
  </si>
  <si>
    <t>Martin, Manus, Matthew, Sophie</t>
  </si>
  <si>
    <t>Meagher's (Fairview)</t>
  </si>
  <si>
    <t>Cameron, Mark, Padraig, Saul</t>
  </si>
  <si>
    <t>"queit" - Saul, "Dómhnál is a crack head" - Padraig</t>
  </si>
  <si>
    <t>Harkin's</t>
  </si>
  <si>
    <t>Mark, Martin, Matthew, Saul</t>
  </si>
  <si>
    <t>Possibly invalid rating as Matthew failed to rate stickage. "cosy vibe, feels like a Northside job. Smells like delicious" - Martin, "lovely stuff" - Saul, "oops forgot to send" - Matthew</t>
  </si>
  <si>
    <t>The Foggy Dew</t>
  </si>
  <si>
    <t>Adam, Cameron, Martin, Saul</t>
  </si>
  <si>
    <t>Devitt's</t>
  </si>
  <si>
    <t>Dunphy's</t>
  </si>
  <si>
    <t>Cam, Mark, Martin, Matthew, Manus, Podge, Sophie</t>
  </si>
  <si>
    <t>""CHEAP.  CHEAP." Goes the new born chick. I feel new born, new born as the birds that cry their cry. "CHEAP. CHEAP" they screech. I screech for the CHEAP pint. The CHEAP pint screech's for me. She is my cuckoo chick. She is my cuckoo newborn. A new baby given to me by elemental forces, forces of nature. I must provide" - Martin</t>
  </si>
  <si>
    <t>Noctor's</t>
  </si>
  <si>
    <t>Adam, Fred, Kevin, Rebecca</t>
  </si>
  <si>
    <t>"I would not go here if I was a migrant or gay. This is by far the dodgiest pub I've been to in Dublin, there's broken glass on the walls and Ireland flags outside." - Kevin, "toilets have no lid and woman beside me was groaning and shitting loudly" - Rebecca</t>
  </si>
  <si>
    <t>Madigan's (O Connell St)</t>
  </si>
  <si>
    <t>Alan, Martin, Matthew, Saul</t>
  </si>
  <si>
    <t>"happy birthday Angela" - Matthew, "tooooooones" - Saul</t>
  </si>
  <si>
    <t>Kennedy's</t>
  </si>
  <si>
    <t>Pebble Beach</t>
  </si>
  <si>
    <t>Alan, Cam, Mark, Matthew, Podge, Saul, Sophie</t>
  </si>
  <si>
    <t>Fowlers</t>
  </si>
  <si>
    <t>Alan, Fred, Kevin, Martin, Matthew, Padraig</t>
  </si>
  <si>
    <t>"A strange mix of classy and tacky" - Martin, "Fantastic hand dryer" - Padraig</t>
  </si>
  <si>
    <t>Paddy Cullen's</t>
  </si>
  <si>
    <t>Alan, Cam, Kevin, Manus, Mark, Martin, Matthew, Saul, Sadhbh N, Sophie</t>
  </si>
  <si>
    <t>"delicious snug keeps me warm in the soul" - Cam, "Merry Christmas" - Sophie, "Robocop" - Martin, "Pringles" - Sadhbh N</t>
  </si>
  <si>
    <t>Grand Central</t>
  </si>
  <si>
    <t>"swords security are going ham" - Matthew</t>
  </si>
  <si>
    <t>Toners</t>
  </si>
  <si>
    <t>Adam, Kevin, Martin, Saul</t>
  </si>
  <si>
    <t>"where’s ms toner 😉" - Martin</t>
  </si>
  <si>
    <t>Gaffney's</t>
  </si>
  <si>
    <t>"my mam drinks her so much that the barmen asks where she is if she hasn't been that week" - Martin</t>
  </si>
  <si>
    <t>The Old Stand</t>
  </si>
  <si>
    <t>Adam, Kevin, Mark, Saul</t>
  </si>
  <si>
    <t>"decent spot" - Saul</t>
  </si>
  <si>
    <t>Fagan's</t>
  </si>
  <si>
    <t>Cusack's</t>
  </si>
  <si>
    <t>"Turned to potato fields but not born in them,
Was I, an Irish man
Born away from them I hear your cry?
Was I an Irish man?
However, I, a city slicker, have adopted and cradled this babe.
Showered her in vinegary goodness,
Showed her, her true potential.
Filfulled her final form, her fine foilly finish.
Forced her beyond my lips.
Cradled her in my palm.
Force and cradle. 
You call me Newton now.  But you haven't accessed the gravity of the situation. Potatoes can't fall on my head." - Martin</t>
  </si>
  <si>
    <t xml:space="preserve">Kilmardinny Inn </t>
  </si>
  <si>
    <t>Adam, Fred, Kevin, Saul</t>
  </si>
  <si>
    <t>Very good clean taste, shame it lacked slightly in stickage because it was a fine tasting pint. Nice creamy pint with a solid texture, maybe a bit watery towards the end. Pub atmosphere was popping (Tá an t-atmaisféar leictreach). Everyone except Fred enjoyed themselves, barman was joking with Adam and there was a great local atmosphere about the place. We got picked on by the regulars but in a banter-y Irish way. This was during a quarter final in a GAA pub so we may have to revisit soon on a not GAA day. Low price was a plus.</t>
  </si>
  <si>
    <t>The Snug</t>
  </si>
  <si>
    <t>Gibneys</t>
  </si>
  <si>
    <t>Alan, Kevin, Martin, Matthew, Padraig, Saul</t>
  </si>
  <si>
    <t>Had separate bars with difference prices (€7.00 and €6.60). Price is averaged between them. "4 legs good, 1 leg better" - Martin, "Worst hand dryer but nice pub" - Padraig</t>
  </si>
  <si>
    <t>Cassidy's (Camden)</t>
  </si>
  <si>
    <t>McGrattans</t>
  </si>
  <si>
    <t>"SEAN DYCHE MASTERCLASS" - Martin</t>
  </si>
  <si>
    <t>Fitzgeralds of Sandycove</t>
  </si>
  <si>
    <t>Cam, Martin, Matthew, Saul</t>
  </si>
  <si>
    <t>"I was promised 9 euro meals" - Martin</t>
  </si>
  <si>
    <t>Padraig Pearse</t>
  </si>
  <si>
    <t>The Hut</t>
  </si>
  <si>
    <t>Adam, Matthew, Padraig, Saul</t>
  </si>
  <si>
    <t>Sophie's rating removed as she failed to rate stickage. "A lovely pub atmosphere, I would like to be an old man here" - Sophie, "lovely" - Saul, "lil bit small" - Padraig</t>
  </si>
  <si>
    <t>Doheny &amp; Nesbitt</t>
  </si>
  <si>
    <t>"spurs are wining" - Martin</t>
  </si>
  <si>
    <t>Brogans</t>
  </si>
  <si>
    <t>Alan, Kevin, Martin, Saul, Sophie</t>
  </si>
  <si>
    <t>"nice old man pub" - Alan, "This pub is odorous" - Kevin, "Arkbar of Dame St" - Martin</t>
  </si>
  <si>
    <t>O'Donoghue's (Merrion Row)</t>
  </si>
  <si>
    <t>Cleary's</t>
  </si>
  <si>
    <t>Cam, Fred, Kevin, Mark, Sadhbh N, Saul, Sophie</t>
  </si>
  <si>
    <t>"Lovely pub" - Sophie, "I enjoyed the second mysterious room" - Sadhbh N</t>
  </si>
  <si>
    <t>Swift's</t>
  </si>
  <si>
    <t>Cam, Fred, Kevin, Martin, Saul</t>
  </si>
  <si>
    <t>"these lamps" - Cam, "Walking stick theory wouldn't fly somewhere this woke" - Martin</t>
  </si>
  <si>
    <t>Woke</t>
  </si>
  <si>
    <t>The Lark Inn</t>
  </si>
  <si>
    <t>"I'm amazed this pub exists. Feels like it should be in Kilbarrack or Raheny but it's in the Liberties" - Kevin, "Lark Inn is Ireland for the Irish protest vibes" - Ruairi, "Junkies by the door, blubber in the corner, 5 quid pints, a real Dublin number" - Martin</t>
  </si>
  <si>
    <t>Not woke</t>
  </si>
  <si>
    <t>Connolly's (Sheds)</t>
  </si>
  <si>
    <t>Alan, Cam, Matthew, Podge, Saul</t>
  </si>
  <si>
    <t>Arthur's Blues and Jazz Club</t>
  </si>
  <si>
    <t>Cam, Fred, Martin, Saul</t>
  </si>
  <si>
    <t>"needlessly large disoranno is a safety hazard" - Cam
"A pint with influences ranging from Led Zeppelin to Wayne Shorter, including Miles Davis, Hendrix, and Satie.
"Farrelly glides through the pint with a superb sense of confidence…" - Jazz Times
"Bullshit expert Phelan, capitalizes on his considerable gifts as an improviser, interpreter, and sonic trailblazer…" - Downbeat Magazine" - Martin</t>
  </si>
  <si>
    <t>Clarke's</t>
  </si>
  <si>
    <t>Fred, Kevin, Martin, Padraig, Saul, Sophie</t>
  </si>
  <si>
    <t>"UTFR" - Padraig</t>
  </si>
  <si>
    <t>Harbourmaster</t>
  </si>
  <si>
    <t>"this pub feels like it should be in Howth, not beside connolly" - Saul, "€6.70? Come on lads, it’s next to Junkie HQ. Man’s gotta eat" - Martin</t>
  </si>
  <si>
    <t>The 1884</t>
  </si>
  <si>
    <t>Adam, Fred, Kevin, Martin</t>
  </si>
  <si>
    <t>Bar Rua</t>
  </si>
  <si>
    <t>Adam, Mark, Matthew, Saul</t>
  </si>
  <si>
    <t>"nice" - Saul</t>
  </si>
  <si>
    <t>Harbour Bar</t>
  </si>
  <si>
    <t>Cam, Matthew, Saul, Sophie</t>
  </si>
  <si>
    <t>"Pub fire [heart eyes emoji x 3]" - Sophie</t>
  </si>
  <si>
    <t>Clarke's City Arms</t>
  </si>
  <si>
    <t>Adam, Cam, Kevin, Mark, Martin, Matthew, Saul</t>
  </si>
  <si>
    <t>"Willa whites chocolate homunculus" - Martin</t>
  </si>
  <si>
    <t>Hedigans (Brian Boru)</t>
  </si>
  <si>
    <t>Cameron, Padraig, Saul, Sophie</t>
  </si>
  <si>
    <t>"Adam is rattled" - Saul, "Here for 12 pubs but feels like a place I'd bring fam to" - Sophie, "martin is a menace" - Padraig</t>
  </si>
  <si>
    <t>The Ardlea Inn</t>
  </si>
  <si>
    <t>Adam, Fred, Kevin, Martin, Saul</t>
  </si>
  <si>
    <t>"big black yoke on my glass, might have improved the taste cause it tested pretty pretty good" - Martin</t>
  </si>
  <si>
    <t>Duffys</t>
  </si>
  <si>
    <t>"Beating Newcastle isn't for everyone" - Martin, "Hand dryer not as good but still lovely" - Padraig</t>
  </si>
  <si>
    <t>The Summit Inn</t>
  </si>
  <si>
    <t>"delicious veggie burger" - Sophie</t>
  </si>
  <si>
    <t>Hynes' Bar</t>
  </si>
  <si>
    <t>"food is unreal" - Adam, ""Every man's dream is to turn a lesbian straight"" - Saul, "A pub that allows dogs is either the wokest or least woke pub you've ever been to" - Martin</t>
  </si>
  <si>
    <t xml:space="preserve">The International </t>
  </si>
  <si>
    <t>Adam, Cameron, Fred, Mark, Saul</t>
  </si>
  <si>
    <t>"howdy cowboy" - Adam, "spenny" - Saul, "he poured my pint into a used unwashed glass i saw him just pick up" - Mark</t>
  </si>
  <si>
    <t>The Bar (Guinness)**</t>
  </si>
  <si>
    <t>Adam, Cameron, Fred, Saul</t>
  </si>
  <si>
    <t>"Everton supporters club" - Saul</t>
  </si>
  <si>
    <t>Meagher's (Quays)</t>
  </si>
  <si>
    <t>The Goblet</t>
  </si>
  <si>
    <t>"Preston is gud" - Martin</t>
  </si>
  <si>
    <t>The Lower Deck</t>
  </si>
  <si>
    <t>Cam, Fred, Kevin, Mark, Matthew, Sadhbh D, Sadhbh N, Saul, Sophie</t>
  </si>
  <si>
    <t>The Hideout House</t>
  </si>
  <si>
    <t>Alan, Cam, Kevin, Martin, Saul, Sophie SB</t>
  </si>
  <si>
    <t>"kinda feels like an American sports bar" - Kevin, "dead pintmen" - Martin, "that man was almost horizontal" - Alan</t>
  </si>
  <si>
    <t>The Ginger Man</t>
  </si>
  <si>
    <t>Adam, Kevin, Matthew, Saul</t>
  </si>
  <si>
    <t>Dundrum House</t>
  </si>
  <si>
    <t>Manus, Matthew, Mark, Martin, Saul</t>
  </si>
  <si>
    <t>"Saul is landlord scum" - Martin, "standing up is sad when there's a seat beside me" - Matthew, "pint" - Saul, "possibly the most generic pub ever, it’s like it was created for a movie set" - Manus</t>
  </si>
  <si>
    <t>McGeough's (The Bohemian)</t>
  </si>
  <si>
    <t>Adam, Fred, Matthew, Saul</t>
  </si>
  <si>
    <t xml:space="preserve">Discounted Padraig's rating as he failed to rate stickage. "gas ⛽" - Saul, "mulled wine in the kettle" - Matthew
</t>
  </si>
  <si>
    <t>Darkey Kelley's</t>
  </si>
  <si>
    <t>Fred, Kevin, Matthew, Saul</t>
  </si>
  <si>
    <t>Kodiak</t>
  </si>
  <si>
    <t>Kevin, Martin, Matthew, Saul, Sophie</t>
  </si>
  <si>
    <t>"I can BEARly contain my excitement" - Martin, "me gusta" - Saul</t>
  </si>
  <si>
    <t>The Duke</t>
  </si>
  <si>
    <t>The Barbers Bar</t>
  </si>
  <si>
    <t>Adam, Alan, Cam, Martin, Rachael, Sadhbh D</t>
  </si>
  <si>
    <t>"I love the dogs" - Sadhbh D, "Pathway pint" - Martin</t>
  </si>
  <si>
    <t>The Cat and Cage</t>
  </si>
  <si>
    <t>Fred, Kevin, Martin, Saul</t>
  </si>
  <si>
    <t>A little on the thin side and no real creaminess in the head. Taste is of a good quality and having the option of setting up a tab is nice. Stickage and Head to Body Ratio (HBD) were let downs. Pizza is top quality (not taken into our scores but good to note) and there’s a very handsome barman named Manus. Non-descript, average pint aside from a standout malty taste. Very solid pub character consisting of friendly staff and calming jazz/funk playing in the background. Decor was a little too bougie bar-like for my tastes. Pub is very comfortable and nice. Good atmosphere for a Monday afternoon.</t>
  </si>
  <si>
    <t>Keelings</t>
  </si>
  <si>
    <t>"I’ve missed the groove, I was shitting too much. I wanted to dance but my bowels have foiled me once again. Their was a live band when I arrived yet upon post my bottom wipe it was no more. I saw the drums packing up and the cables rolled. My bowel might be empty but so is my heart" - Martin, "No comment on hand dryers" - Padraig</t>
  </si>
  <si>
    <t>Frank Ryan's</t>
  </si>
  <si>
    <t>"Better than Decarteret I suppose" - Martin, "it is dark in here" - Saul</t>
  </si>
  <si>
    <t>Whelan's</t>
  </si>
  <si>
    <t>The Auld Triangle</t>
  </si>
  <si>
    <t>Adam, Fred, Padraig, Saul</t>
  </si>
  <si>
    <t>"had to stand love the ra vibe" - Padraig</t>
  </si>
  <si>
    <t>O'Neill's (Suffolk St.)</t>
  </si>
  <si>
    <t>"this is a pub" - Saul, "Johnny Sexton has his own taps" - Matthew</t>
  </si>
  <si>
    <t>Ryan's</t>
  </si>
  <si>
    <t>John Kavanagh The Gravediggers</t>
  </si>
  <si>
    <t>Adam, Cam, Fred, Kevin, Mark, Martin, Podge, Sadhbh N, Saul, Rachael</t>
  </si>
  <si>
    <t>Brewdock</t>
  </si>
  <si>
    <t>Cam, Fred, Kevin, Mark, Matthew, Sadhbh N, Saul</t>
  </si>
  <si>
    <t>The Bloody Stream</t>
  </si>
  <si>
    <t>Adam, Cam, Fred, Kevin, Matthew, Padraig</t>
  </si>
  <si>
    <t>"I didn't fall asleep this time" - Padraig</t>
  </si>
  <si>
    <t>Harry's on the Green**</t>
  </si>
  <si>
    <t>Kealy's</t>
  </si>
  <si>
    <t>Kevin, Martin, Padraig, Saul</t>
  </si>
  <si>
    <t>"Annual clash of clan's conference" - Martin, "Yummy food" - Padraig</t>
  </si>
  <si>
    <t>The Watermill Bar</t>
  </si>
  <si>
    <t>Cam, Mark, Martin,  Manus, Podge</t>
  </si>
  <si>
    <t>The Crowbar</t>
  </si>
  <si>
    <t>The Lord Edward</t>
  </si>
  <si>
    <t>Cameron, Fred, Kevin, Mark, Matthew, Sadhbh N, Saul, Sophie</t>
  </si>
  <si>
    <t>Rating may be invalid as Fred failed to rate H2B</t>
  </si>
  <si>
    <t xml:space="preserve">Delaney's </t>
  </si>
  <si>
    <t>Mark, Martin, Padraig, Saul</t>
  </si>
  <si>
    <t>Possible invalid rating as Saul did not rate stickage. "suit of armour" - Martin, "too many lamps" - Padraig, "robot wars" - Saul</t>
  </si>
  <si>
    <t>The Viscount</t>
  </si>
  <si>
    <t>Peter's Pub</t>
  </si>
  <si>
    <t>Cam, Kevin, Ruairí, Saul</t>
  </si>
  <si>
    <t>"bambino queue too long" - Kevin, "Accidentally ordered two pints of Guinness" - Ruairí, "extra pub points for the fact that we all got stools" - Cam</t>
  </si>
  <si>
    <t>James Connolly's</t>
  </si>
  <si>
    <t>The Christchurch Inn</t>
  </si>
  <si>
    <t>Cam, Kevin, Matthew, Sadhbh N, Saul, Sophie</t>
  </si>
  <si>
    <t>O'Donoghue's (Suffolk Street)</t>
  </si>
  <si>
    <t>"this is one of the warmest pubs I've ever sat in. lovely smoking balcony tho. we got chatting to a nice French man named Jules" - Kevin, "I'm a sweaty mess and this pint is cooling me" - Cam</t>
  </si>
  <si>
    <t>Brannigans</t>
  </si>
  <si>
    <t>Alan, Matthew, Saul, Sophie</t>
  </si>
  <si>
    <t>"This place smells so bad" - Sophie, "small pub with a weird smell" - Matthew</t>
  </si>
  <si>
    <t>The Cedar</t>
  </si>
  <si>
    <t>O'Reilly's (Sandymount)</t>
  </si>
  <si>
    <t>Fred, Kevin, Martin, Matthew, Padraig, Saul, Sophie</t>
  </si>
  <si>
    <t>"lots of sport nik naks" - Padraig</t>
  </si>
  <si>
    <t>The Wicked Wolf</t>
  </si>
  <si>
    <t>Fred, Kevin, Mark, Padraig, Saul, Sophie</t>
  </si>
  <si>
    <t>"bar not a pub" - Padraig, "It smells like fire in here and the toilets stink" - Sophie</t>
  </si>
  <si>
    <t>Lloyd's</t>
  </si>
  <si>
    <t>Cam, Fred, Mark, Sadhbh N, Saul</t>
  </si>
  <si>
    <t>"toooones" - Saul, "welcomed in through the side door" - Sadhbh N</t>
  </si>
  <si>
    <t>Blackbird</t>
  </si>
  <si>
    <t>Fred, Kevin, Sadhbh D, Sophie</t>
  </si>
  <si>
    <t>"Not only is the music too loud but the tables are massive so no one can hear each other" - Kevin, "Happy Birthday Sophie" - Sadhbh D, "Nice bar but too loud" - Sophie</t>
  </si>
  <si>
    <t>Grace's</t>
  </si>
  <si>
    <t>Cameron, Kevin, Matthew, Saul, Sophie</t>
  </si>
  <si>
    <t>"This is the greatest pub I have ever been to, the only negative is that Martin is not here to experience this exceptional abode of Guinness sorcery" - Cameron</t>
  </si>
  <si>
    <t>Egan's</t>
  </si>
  <si>
    <t>Adam, Cam, Fred, Kevin, Martin, Matthew, Padraig, Sadhbh N, Saul, Sophie, Thomas</t>
  </si>
  <si>
    <t>"The woke mob can produce a decent pint but they know how to charge" - Martin, "sweatyyy" - Sadhbh N, "second pint was better" - Thomas, "For this establishment, it's a way better pint than you expect" - Adam and Lily, "Liverpool 4 Bournemouth 2" - Adam, "Too warm and no way to dry your hands in bathroom" - Padraig</t>
  </si>
  <si>
    <t>Bleecker Street Bar</t>
  </si>
  <si>
    <t>Kevin, Martin, Saul, Sophie SB</t>
  </si>
  <si>
    <t>"bottom of the list so she is" - Martin</t>
  </si>
  <si>
    <t>Guinness Storehouse Gravity Bar*</t>
  </si>
  <si>
    <t>Possibly invalid rating as Saul failed to rate stickage. "decent view tbf" - Saul, "much busier so worse quality of pint but made up for by great view" - Matthew, "sour sour, happy hour, I did devour. Dower, dower, not a wower. Served to me in a Guinness tower" - Martin</t>
  </si>
  <si>
    <t>The Lighthouse</t>
  </si>
  <si>
    <t>Cam, Mark, Martin, Matthew, Podge, Saul, Sophie</t>
  </si>
  <si>
    <t>The Roundabout</t>
  </si>
  <si>
    <t>"GIMME TAZA" - Martin</t>
  </si>
  <si>
    <t>Molloy's</t>
  </si>
  <si>
    <t>Cam, Fred, Kevin, Mark, Matthew, Sadhbh N, Saul, Sophie</t>
  </si>
  <si>
    <t>"prime location" - Sadhbh N</t>
  </si>
  <si>
    <t>O'Regan's</t>
  </si>
  <si>
    <t>Adam, Fred, Mia, Saul, Sophie</t>
  </si>
  <si>
    <t>"Minus points for being uncomfortable, dark and being the same dude who owns hogans" - Sophie, "I like the old movies they have on but they always the same" - Mia</t>
  </si>
  <si>
    <t>The Findlater</t>
  </si>
  <si>
    <t>"bathroom smelled nice" - Matthew, "3 oysters and a Guinness for €11.50!!!!"</t>
  </si>
  <si>
    <t>Lucky's</t>
  </si>
  <si>
    <t>Cameron, Matthew, Saul, Sophie</t>
  </si>
  <si>
    <t>"meh pub" - Saul, "A nice bar, a lovely night :)" - Sophie, "Loyle fucking carner" - Matthew</t>
  </si>
  <si>
    <t>The Bernard Shaw</t>
  </si>
  <si>
    <t>Jack O Rourke's</t>
  </si>
  <si>
    <t>Adam, Kevin, Mark, Martin, Saul</t>
  </si>
  <si>
    <t>"narnia" - Adam</t>
  </si>
  <si>
    <t>Crowes</t>
  </si>
  <si>
    <t>Alan, Cam, Kevin, Manus, Mark, Martin, Matthew, Sadhbh N, Saul</t>
  </si>
  <si>
    <t>Possibly invalid rating as Manus failed to rate pub character. "hiccup Joe" - Alan, "open fire" - Sadhbh N, "Alan can't hack it" - Martin</t>
  </si>
  <si>
    <t xml:space="preserve">Clonliffe House </t>
  </si>
  <si>
    <t>Alan, Cameron, Mark, Padraig, Saul</t>
  </si>
  <si>
    <t>"top gear" - Saul, "Dead pub glad al got a bad pint" - Padraig, "Mr. Phelan, take me to Bargain Town" - Martin</t>
  </si>
  <si>
    <t>Walters</t>
  </si>
  <si>
    <t>"Roll n Roll" - Martin</t>
  </si>
  <si>
    <t>The Raheny Inn</t>
  </si>
  <si>
    <t>Grainger's Hanlons Corner</t>
  </si>
  <si>
    <t>"woman rugby tackled me" - Cam</t>
  </si>
  <si>
    <t>The Gin Palace</t>
  </si>
  <si>
    <t>Cam, Kevin, Martin, Saul, Sophie SB</t>
  </si>
  <si>
    <t>"stunning looking x" - Martin, "cozy candlelit dinner" - Cam</t>
  </si>
  <si>
    <t>Brú (Fairview)**</t>
  </si>
  <si>
    <t>Cam, Fred, Kevin, Martin</t>
  </si>
  <si>
    <t>"slurpy, sloppy shellfish - Martin</t>
  </si>
  <si>
    <t>The Bald Eagle</t>
  </si>
  <si>
    <t>Adam, Cameron, Fred, Matthew, Saul, Sophie</t>
  </si>
  <si>
    <t>Padraig's rating removed as he failed to rate stickage. "Bob Marley" - Saul, "Very watery head, did not appreciate. Tasted nice though, a solid 7 of a pub" - Sophie, "Enya was behind the bar" - Matthew</t>
  </si>
  <si>
    <t>Corrigans</t>
  </si>
  <si>
    <t>Adam, Cam, Fred, Kevin, Mark, Rachael, Sadhbh D, Sadhbh N, Saul, Sophie</t>
  </si>
  <si>
    <t>"Rob Kearnage is framed on the wall, speaks for itself" - Sadhbh N, "happy birthday Sophie 2" - Sadhbh D, "yup leeds" - Sophie, "LEEDS LEEDS LEEDS" - Kevin, "We all hate Leeds scum" - Saul</t>
  </si>
  <si>
    <t>McDaids</t>
  </si>
  <si>
    <t>"Feels like a little known secret. Tho it is pricey" - Kevin, "I like it here" - Ruairi, "This pub seems to be frequented by 50 year old cougars. Bit small" - Cam</t>
  </si>
  <si>
    <t>Phil Ryan's Hogan Stand</t>
  </si>
  <si>
    <t>Cameron, Fred, Padraig, Saul</t>
  </si>
  <si>
    <t>"too many brits" - Padraig</t>
  </si>
  <si>
    <t>Gilbert and Wright</t>
  </si>
  <si>
    <t>"goooooooooooooaaaaaaallllllllllllllll!!!!!!!!" - Martin, "Hand dryer is not up to standard" - Padraig</t>
  </si>
  <si>
    <t>Pawn Shop</t>
  </si>
  <si>
    <t>Cam, Kevin, Mark, Martin</t>
  </si>
  <si>
    <t>"they made us wait outside for no reason and I had to pee" - Cameron, "this was Sophies graduation night" - Kevin, "Ceiling sweat dripped into my pint, more please" - Martin</t>
  </si>
  <si>
    <t>The Wiley Fox</t>
  </si>
  <si>
    <t>Kevin, Mark, Matthew, Sadhbh N, Saul</t>
  </si>
  <si>
    <t>Plunkets</t>
  </si>
  <si>
    <t>Cam, Fred, Matthew N, Mia, Sadhbh D, Saul, Sophie SB</t>
  </si>
  <si>
    <t>"Saul had but a sip of his pint left and the nice waitress came over to demand he had more. Goated spot" - Cam, "live music" - Mia</t>
  </si>
  <si>
    <t>Davy Byrne's</t>
  </si>
  <si>
    <t>Adam, Cameron, Martin, Matthew, Saul</t>
  </si>
  <si>
    <t>"shite pub" - Saul, "North face uniform" - Matthew, "Davy Byrne has me burning down the house" - Martin</t>
  </si>
  <si>
    <t>Mary Mac's</t>
  </si>
  <si>
    <t>Alan, Kevin, Manus, Mark, Martin, Matthew, Ruairí, Sadhbh N, Saul, Sophie</t>
  </si>
  <si>
    <t>"pub smells subtly like sewage and liquorice" - Manus, "The only gay in the village is..." - Martin, "mini eggs" - Sadhbh N, "The Mini egg machine elevated this place" - Sophie</t>
  </si>
  <si>
    <t>Blackbanks</t>
  </si>
  <si>
    <t>Cameron, Kevin, Mark, Matthew</t>
  </si>
  <si>
    <t>Kavanaghs The Temple</t>
  </si>
  <si>
    <t>"hash" - Cam, "bottom of the list so she is" - Martin</t>
  </si>
  <si>
    <t>Horse Show House</t>
  </si>
  <si>
    <t>Alan, Cam, Kevin, Mark, Martin, Matthew, Saul, Sophie</t>
  </si>
  <si>
    <t>"no workman's please. Pint too cold to taste" - Cam, "There are two girls here, sitting opposite each other, drinking red wine and reading intermezzo" - Sophie, "Granite tables and no beer mats has annoyed me" - Alan, "Horse Cock Lounge" - Martin</t>
  </si>
  <si>
    <t>Piper's Corner</t>
  </si>
  <si>
    <t>The Swan</t>
  </si>
  <si>
    <t>Juno</t>
  </si>
  <si>
    <t>Adam, Fred, Martin, Matthew, Padraig, Saul, Sophie</t>
  </si>
  <si>
    <t>"bar man did good pints, bar woman did bad pints" - Matthew, "yummy smokes" - Padraig</t>
  </si>
  <si>
    <t>Strand House</t>
  </si>
  <si>
    <t>Cam, Fred, Matthew, Saul</t>
  </si>
  <si>
    <t>Possibly invalid rating as Fred didn't include his H2B - averaged based off the remaining three</t>
  </si>
  <si>
    <t>Sheehan's</t>
  </si>
  <si>
    <t>O'Connells (Howth)</t>
  </si>
  <si>
    <t>Adam, Manus, Matthew, Saul</t>
  </si>
  <si>
    <t>"this is a pub" - Saul, "toilet smells awful" - Matthew, "quite a generic spot" - Manus</t>
  </si>
  <si>
    <t>The Grand Social</t>
  </si>
  <si>
    <t>Sandymount House</t>
  </si>
  <si>
    <t>"More like a living room than a pub" - Padraig</t>
  </si>
  <si>
    <t>The Lotts</t>
  </si>
  <si>
    <t>Cam, Fred, Kevin, Saul, Sophie SB</t>
  </si>
  <si>
    <t>"Great pint but this the type of pub you bring your mam to for Sunday lunch" - Kevin</t>
  </si>
  <si>
    <t>The Oarsman</t>
  </si>
  <si>
    <t>Foley's Bar</t>
  </si>
  <si>
    <t>Adam, Cam, Fred, Kevin, Martin, Saul</t>
  </si>
  <si>
    <t>"resembles WATER at times" - Cam</t>
  </si>
  <si>
    <t>The Ref Pub</t>
  </si>
  <si>
    <t>"scary spot (fearing for my life)" - Alan, "feared for my life in here" - Saul, "I've heard of drinking to get legless but this is ridiculous" - Martin</t>
  </si>
  <si>
    <t>Brickyard</t>
  </si>
  <si>
    <t>"little bit USA for my taste. Not the Texas redneck type either, the hipster city vibe" - Martin, "I want to try the €28 beer" - Matthew, "Feels very contrived and corporate, typical southside" - Manus</t>
  </si>
  <si>
    <t xml:space="preserve">The Cobblestone </t>
  </si>
  <si>
    <t>Martin's rating removed as he failed to rate stick. "average pub average pint" - Padraig</t>
  </si>
  <si>
    <t>Bruxelles</t>
  </si>
  <si>
    <t>"low ceilings make me feel like the green giant from the ads" - Cam, "I expected better from a pub of this stature. Also the low ceiling downstairs feels like it'd cave in if you pushed it hard enough" - Kevin</t>
  </si>
  <si>
    <t>Neary's</t>
  </si>
  <si>
    <t>"I felt poor in this pub" - Kevin, "spooky smoking area" - Cam, "I like it but I think I am an outlier" - Ruairí</t>
  </si>
  <si>
    <t>Dawson Lounge</t>
  </si>
  <si>
    <t>Cam, Kevin, Martin, Ruairí, Saul</t>
  </si>
  <si>
    <t>"I like the vibe" - Ruairí, "smol gaff and I love it" - Cam, "pint was more sour than the barman's BO" - Martin</t>
  </si>
  <si>
    <t>Doyle's Corner</t>
  </si>
  <si>
    <t>Adam, Fred, Matthew, Padraig, Saul, Sophie</t>
  </si>
  <si>
    <t>Possible invalid rating as Fred did not rate pub character. "My pint had more bubbles in it that a child’s 10th birthday party - disgraceful. Tastes a bit like you’ve had a night of Guinness and then vomited it up again" - Fred, "too much swank not for the boys" - Padraig, "Kevin thinks it's okay to be racist" - Matthew</t>
  </si>
  <si>
    <t>The Yacht</t>
  </si>
  <si>
    <t>Adam, Cam, Martin, Podge</t>
  </si>
  <si>
    <t>Ciss Maddens</t>
  </si>
  <si>
    <t>Alan, Cameron, Kevin, Martin, Matthew, Saul, Sophie</t>
  </si>
  <si>
    <t>J. W. Sweetman's</t>
  </si>
  <si>
    <t>Adam, Cam, Fred, Saul</t>
  </si>
  <si>
    <t>Mullet's</t>
  </si>
  <si>
    <t>Cam, Fred, Mark, Sadhbh N, Saul, Sophie</t>
  </si>
  <si>
    <t>"There's a pistol on the wall I think that's cool" - Cam, "Can't tell if the ra memorabilia makes this place better or worse" - Sophie, "I was kinda scared I'd be kneecapped ngl" - Sadhbh N</t>
  </si>
  <si>
    <t>Pantibar</t>
  </si>
  <si>
    <t>Adam, Cam, Kevin, Martin</t>
  </si>
  <si>
    <t>The Back Page</t>
  </si>
  <si>
    <t>Possibly invalid rating as Saul did not rate stickage. "martins infinite bar of coins" - Saul, "festive jingle of coins" - Padraig</t>
  </si>
  <si>
    <t>The Bridge 1859</t>
  </si>
  <si>
    <t>Alan, Kevin, Manus, Ruairí, Saul</t>
  </si>
  <si>
    <t>"Ster" - Alan, "Ballsbridge" - Ruairí</t>
  </si>
  <si>
    <t>Slattery's</t>
  </si>
  <si>
    <t>Adam, Mark, Martin, Podge, Saul</t>
  </si>
  <si>
    <t>The Abbey Tavern</t>
  </si>
  <si>
    <t>"quite a generic spot" - Manus, "a guy from Mount Temple works here" - Matthew</t>
  </si>
  <si>
    <t>Fitzgerald's Bar</t>
  </si>
  <si>
    <t>Alan, Fred, Kevin, Matthew, Saul, Sophie</t>
  </si>
  <si>
    <t>"that pint tasted of nothing" - Sophie</t>
  </si>
  <si>
    <t>Portobello Bar</t>
  </si>
  <si>
    <t>Adam, Cam, Fred, Kevin, Rachael, Sadhbh N, Saul, Sophie</t>
  </si>
  <si>
    <t>"minus friend points for saul. A truly evil individual." - Adam, "Utter posh nonsense" - Kevin, "the brunch looks overpriced" - Sadhbh N</t>
  </si>
  <si>
    <t>J.T. Pim's</t>
  </si>
  <si>
    <t>The Ramble Inn</t>
  </si>
  <si>
    <t>Alan, Kevin, Matthew, Padraig</t>
  </si>
  <si>
    <t>The Oval</t>
  </si>
  <si>
    <t>Alan, Kevin, Matthew N, Mia, Paul Byrne, Saul, Sophie</t>
  </si>
  <si>
    <t>"yay live music" - Mia, "live music helps sometimes but a poor selection" - Paul Byrne, "tourist pub. Big flex "est 1820, rebuilt after the 1916 rising"" - Sophie, "no seats upstairs cunts" - Alan</t>
  </si>
  <si>
    <t>Merrion Inn</t>
  </si>
  <si>
    <t>Fred, Kevin, Mark, Martin, Matthew, Padraig, Saul, Sophie</t>
  </si>
  <si>
    <t>"terraces off the dart line near Connolly type beat" - Padraig</t>
  </si>
  <si>
    <t>The Vintage Inn</t>
  </si>
  <si>
    <t>Guinness Storehouse Stoutie*</t>
  </si>
  <si>
    <t>"cute flick of the boys" - Matthew, "sour sour, happy hour, I did devour. Dower, dower, not a wower. Served to me in a Guinness tower" - Martin</t>
  </si>
  <si>
    <t>O’Neill's (Dun Laoghaire)</t>
  </si>
  <si>
    <t>Cam, Martin, Matthew, Podge, Sophie</t>
  </si>
  <si>
    <t>John's Bar &amp; Haberdashery</t>
  </si>
  <si>
    <t>"Wheelie Gonzales" - Martin, "I like the songs, skateboaridng is gay" - Cam</t>
  </si>
  <si>
    <t>Murray's</t>
  </si>
  <si>
    <t>Notably everyone rated pub character a 5. "Tourist trap" - Sophie</t>
  </si>
  <si>
    <t>Beaumont House</t>
  </si>
  <si>
    <t>The pint had a distinct coffee taste with a nice creamy head, a little too cabonated and just a fraction colder than I like it. The first sip was an absolute delight but quicky declined as we continued drinking. Pub had a quiet atmosphere focused on the GAA match. Staff were nice and good craic, pub smells like eggs and the carpet's a little past its sell-by-date.</t>
  </si>
  <si>
    <t>The Sugarclub</t>
  </si>
  <si>
    <t>Alan, Martin, Padraig, Saul</t>
  </si>
  <si>
    <t>"funny innit" - Saul, "funny funny" - Padraig</t>
  </si>
  <si>
    <t>The Comet</t>
  </si>
  <si>
    <t>Super slow service, which led to a flat pint. It really does feel like a crap Irish pub in Benidorm. Pint was sloppy, thin and too cold but the texture improved as I drank. Fred's comment was "nice clean glass", which is weird to me. Overall a mediocre pint with an almost sickly taste .The pub was busy and yet unwelcoming - The Comet is best for food which we are not taking into account for our scores (this is a guinness ranking after all).</t>
  </si>
  <si>
    <t>Bootleg**</t>
  </si>
  <si>
    <t>Adam, Cam, Kevin, Martin, Saul</t>
  </si>
  <si>
    <t>"1 second in: Daddy kind of likey
5 seconds in: Daddy somewhat likely
30 seconds in: Daddy no likey
1 minute in: Daddy hatey" - Martin</t>
  </si>
  <si>
    <t>The Pavilion Bar</t>
  </si>
  <si>
    <t>Fred, Kevin, Matthew, Sophie</t>
  </si>
  <si>
    <t>The Merry Cobbler</t>
  </si>
  <si>
    <t>R.I.O.T</t>
  </si>
  <si>
    <t>Adam, Mark, Martin, Saul</t>
  </si>
  <si>
    <t>Wigwam</t>
  </si>
  <si>
    <t>Cam, Fred, Kevin, Rebecca, Sophie SB</t>
  </si>
  <si>
    <t>The Bar With No Name</t>
  </si>
  <si>
    <t>Cam, Fred, Kevin, Matthew</t>
  </si>
  <si>
    <t>Dublin One Hotel*</t>
  </si>
  <si>
    <t>"gorilla warfare" - Sophie SB, "gorilla warfare" - Saul, "gorillas in the mist" - Alan, "gorilla theory" - Kevin</t>
  </si>
  <si>
    <t>The Green Room Bar</t>
  </si>
  <si>
    <t>"Shit pint but would actually recommend this pub for before gigs in the 3arena, they always play whatever band is on" - Kevin, "Yucky" - Adam</t>
  </si>
  <si>
    <t>Copperface Jack's</t>
  </si>
  <si>
    <t>Idlewild / The Market Bar</t>
  </si>
  <si>
    <t>Cam, Kevin, Martin, Saul</t>
  </si>
  <si>
    <t>"comfy sofa is a welcome addition to this night" - Cam, "idle pints are the devil's workshop" - Martin, "got given a plastic cup and everyone else got a glass. fucking shafted" - Kevin</t>
  </si>
  <si>
    <t>Hartigans</t>
  </si>
  <si>
    <t>Cam, Kevin, Mia, Sadhbh D</t>
  </si>
  <si>
    <t>"Quite watery, price point is high for what it is, saved by the stickage and H2B this pint was mid" - Cam, "bartender shouted at Riya. Also mine and Kevin's chairs were too short and lilys was too long" - Mia, "I feel like I'm in a GAA changing room" - Sadhbh D, "Worst skidmark I've ever seen in a pub toilet" - Kevin</t>
  </si>
  <si>
    <t>Flannery's</t>
  </si>
  <si>
    <t>Adam, Alan, Martin, Saul</t>
  </si>
  <si>
    <t>Airport Cafe Bar*</t>
  </si>
  <si>
    <t>"we are not in a pub" - Padraig</t>
  </si>
  <si>
    <t>The Shakespeare</t>
  </si>
  <si>
    <t>*Definitely not a pub</t>
  </si>
  <si>
    <t>**Closed down</t>
  </si>
  <si>
    <t>Alumni</t>
  </si>
  <si>
    <t>Pubs Visited</t>
  </si>
  <si>
    <t>Average Pub Score</t>
  </si>
  <si>
    <t>Attendance Record</t>
  </si>
  <si>
    <t>Money Invested</t>
  </si>
  <si>
    <t>Saul</t>
  </si>
  <si>
    <t>Martin</t>
  </si>
  <si>
    <t>Cam</t>
  </si>
  <si>
    <t>Kevin</t>
  </si>
  <si>
    <t>Matthew</t>
  </si>
  <si>
    <t>Adam</t>
  </si>
  <si>
    <t>Fred</t>
  </si>
  <si>
    <t>Mark</t>
  </si>
  <si>
    <t>Sophie</t>
  </si>
  <si>
    <t>Alan</t>
  </si>
  <si>
    <t>Podge</t>
  </si>
  <si>
    <t>Padraig</t>
  </si>
  <si>
    <t>Manus</t>
  </si>
  <si>
    <t>Sadhbh N</t>
  </si>
  <si>
    <t>Sadhbh D</t>
  </si>
  <si>
    <t>Rachael</t>
  </si>
  <si>
    <t>Rebecca</t>
  </si>
  <si>
    <t>Thomas</t>
  </si>
  <si>
    <t>Total Money Invested:</t>
  </si>
  <si>
    <t>Total Pints Rated:</t>
  </si>
  <si>
    <t>Total Pubs Rated:</t>
  </si>
  <si>
    <t>Pubs of total 632 rated:</t>
  </si>
  <si>
    <t>Taste vs 
Overall Ranking Correlation</t>
  </si>
  <si>
    <t>Texture vs
Overall Ranking Correlation</t>
  </si>
  <si>
    <t>Stickage vs 
Overall Ranking Correlation</t>
  </si>
  <si>
    <t>H2B vs 
Overall Ranking Correlation</t>
  </si>
  <si>
    <t>Pub Quality vs 
Overall Ranking Correlation</t>
  </si>
  <si>
    <t>Date</t>
  </si>
  <si>
    <t>Monthly Average Pint Price</t>
  </si>
  <si>
    <t>KPIs</t>
  </si>
  <si>
    <t>Q2 2022</t>
  </si>
  <si>
    <t>Q3 2022</t>
  </si>
  <si>
    <t>Q4 2022</t>
  </si>
  <si>
    <t>Q1 2023</t>
  </si>
  <si>
    <t>Q2 2023</t>
  </si>
  <si>
    <t>Q3 2023</t>
  </si>
  <si>
    <t>Q4 2023</t>
  </si>
  <si>
    <t>Q1 2024</t>
  </si>
  <si>
    <t>Q2 2024</t>
  </si>
  <si>
    <t>Q3 2024</t>
  </si>
  <si>
    <t>Q4 2024</t>
  </si>
  <si>
    <t>Q1 2025</t>
  </si>
  <si>
    <t>Q2 2025</t>
  </si>
  <si>
    <t>Q3 2025</t>
  </si>
  <si>
    <t>Q4 2025</t>
  </si>
  <si>
    <t>Total known dates</t>
  </si>
  <si>
    <t>Total unknown datea</t>
  </si>
  <si>
    <t>Total</t>
  </si>
  <si>
    <t>Note: The Great Disappearance of Ratings seemed to occur in early 2023. This explains the low output in that period.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</si>
</sst>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m&quot; &quot;d&quot;, &quot;yyyy"/>
    <numFmt numFmtId="165" formatCode="&quot;€&quot;#,##0.00"/>
    <numFmt numFmtId="166" formatCode="&quot;€&quot;#,##0"/>
    <numFmt numFmtId="167" formatCode="mmmm d yyyy"/>
    <numFmt numFmtId="168" formatCode="mmm&quot; &quot;yyyy"/>
    <numFmt numFmtId="169" formatCode="mmm yyyy"/>
  </numFmts>
  <fonts count="7">
    <font>
      <sz val="10.0"/>
      <color rgb="FF000000"/>
      <name val="Arial"/>
      <scheme val="minor"/>
    </font>
    <font>
      <color theme="1"/>
      <name val="Arial"/>
      <scheme val="minor"/>
    </font>
    <font>
      <color rgb="FF000000"/>
      <name val="Arial"/>
    </font>
    <font>
      <color theme="1"/>
      <name val="Arial"/>
    </font>
    <font>
      <sz val="11.0"/>
      <color rgb="FF1C1E21"/>
      <name val="Arial"/>
    </font>
    <font>
      <b/>
      <color theme="1"/>
      <name val="Arial"/>
      <scheme val="minor"/>
    </font>
    <font>
      <b/>
      <color rgb="FF000000"/>
      <name val="Arial"/>
    </font>
  </fonts>
  <fills count="3">
    <fill>
      <patternFill patternType="none"/>
    </fill>
    <fill>
      <patternFill patternType="lightGray"/>
    </fill>
    <fill>
      <patternFill patternType="solid">
        <fgColor rgb="FFFFFFFF"/>
        <bgColor rgb="FFFFFFFF"/>
      </patternFill>
    </fill>
  </fills>
  <borders count="2">
    <border/>
    <border>
      <left style="thick">
        <color rgb="FF000000"/>
      </left>
      <right style="thick">
        <color rgb="FF000000"/>
      </right>
      <top style="thick">
        <color rgb="FF000000"/>
      </top>
      <bottom style="thick">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horizontal="left" readingOrder="0"/>
    </xf>
    <xf borderId="0" fillId="0" fontId="1" numFmtId="164" xfId="0" applyAlignment="1" applyFont="1" applyNumberFormat="1">
      <alignment horizontal="left" readingOrder="0"/>
    </xf>
    <xf borderId="0" fillId="0" fontId="1" numFmtId="0" xfId="0" applyAlignment="1" applyFont="1">
      <alignment shrinkToFit="0" wrapText="1"/>
    </xf>
    <xf borderId="0" fillId="0" fontId="1" numFmtId="0" xfId="0" applyFont="1"/>
    <xf borderId="0" fillId="0" fontId="1" numFmtId="0" xfId="0" applyAlignment="1" applyFont="1">
      <alignment readingOrder="0" shrinkToFit="0" wrapText="1"/>
    </xf>
    <xf borderId="0" fillId="2" fontId="2" numFmtId="165" xfId="0" applyAlignment="1" applyFill="1" applyFont="1" applyNumberFormat="1">
      <alignment horizontal="left" readingOrder="0"/>
    </xf>
    <xf borderId="0" fillId="0" fontId="1" numFmtId="0" xfId="0" applyAlignment="1" applyFont="1">
      <alignment horizontal="left" readingOrder="0"/>
    </xf>
    <xf borderId="0" fillId="0" fontId="3" numFmtId="165" xfId="0" applyAlignment="1" applyFont="1" applyNumberFormat="1">
      <alignment horizontal="left" readingOrder="0" vertical="bottom"/>
    </xf>
    <xf borderId="0" fillId="0" fontId="3" numFmtId="0" xfId="0" applyAlignment="1" applyFont="1">
      <alignment horizontal="left" vertical="bottom"/>
    </xf>
    <xf borderId="0" fillId="0" fontId="1" numFmtId="166" xfId="0" applyAlignment="1" applyFont="1" applyNumberFormat="1">
      <alignment horizontal="left" readingOrder="0"/>
    </xf>
    <xf borderId="0" fillId="2" fontId="4" numFmtId="0" xfId="0" applyAlignment="1" applyFont="1">
      <alignment readingOrder="0" shrinkToFit="0" wrapText="1"/>
    </xf>
    <xf borderId="0" fillId="0" fontId="5" numFmtId="0" xfId="0" applyAlignment="1" applyFont="1">
      <alignment horizontal="center" readingOrder="0"/>
    </xf>
    <xf borderId="0" fillId="0" fontId="5" numFmtId="0" xfId="0" applyAlignment="1" applyFont="1">
      <alignment readingOrder="0"/>
    </xf>
    <xf borderId="0" fillId="0" fontId="1" numFmtId="2" xfId="0" applyAlignment="1" applyFont="1" applyNumberFormat="1">
      <alignment horizontal="left" readingOrder="0"/>
    </xf>
    <xf borderId="0" fillId="0" fontId="1" numFmtId="10" xfId="0" applyAlignment="1" applyFont="1" applyNumberFormat="1">
      <alignment horizontal="left" readingOrder="0"/>
    </xf>
    <xf borderId="0" fillId="0" fontId="1" numFmtId="0" xfId="0" applyAlignment="1" applyFont="1">
      <alignment horizontal="left"/>
    </xf>
    <xf borderId="0" fillId="2" fontId="6" numFmtId="0" xfId="0" applyAlignment="1" applyFont="1">
      <alignment horizontal="right" readingOrder="0"/>
    </xf>
    <xf borderId="0" fillId="0" fontId="5" numFmtId="165" xfId="0" applyAlignment="1" applyFont="1" applyNumberFormat="1">
      <alignment horizontal="left" readingOrder="0"/>
    </xf>
    <xf borderId="0" fillId="0" fontId="5" numFmtId="0" xfId="0" applyAlignment="1" applyFont="1">
      <alignment horizontal="left" readingOrder="0"/>
    </xf>
    <xf borderId="0" fillId="0" fontId="5" numFmtId="0" xfId="0" applyAlignment="1" applyFont="1">
      <alignment horizontal="right" readingOrder="0"/>
    </xf>
    <xf borderId="0" fillId="0" fontId="5" numFmtId="10" xfId="0" applyAlignment="1" applyFont="1" applyNumberFormat="1">
      <alignment horizontal="left" readingOrder="0"/>
    </xf>
    <xf borderId="1" fillId="0" fontId="5" numFmtId="0" xfId="0" applyAlignment="1" applyBorder="1" applyFont="1">
      <alignment readingOrder="0"/>
    </xf>
    <xf borderId="1" fillId="0" fontId="1" numFmtId="0" xfId="0" applyBorder="1" applyFont="1"/>
    <xf borderId="0" fillId="0" fontId="1" numFmtId="167" xfId="0" applyAlignment="1" applyFont="1" applyNumberFormat="1">
      <alignment readingOrder="0"/>
    </xf>
    <xf borderId="1" fillId="0" fontId="1" numFmtId="168" xfId="0" applyAlignment="1" applyBorder="1" applyFont="1" applyNumberFormat="1">
      <alignment readingOrder="0"/>
    </xf>
    <xf borderId="1" fillId="0" fontId="1" numFmtId="2" xfId="0" applyBorder="1" applyFont="1" applyNumberFormat="1"/>
    <xf borderId="0" fillId="0" fontId="1" numFmtId="2" xfId="0" applyFont="1" applyNumberFormat="1"/>
    <xf borderId="0" fillId="0" fontId="1" numFmtId="169" xfId="0" applyAlignment="1" applyFont="1" applyNumberFormat="1">
      <alignment readingOrder="0"/>
    </xf>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Pintflation</a:t>
            </a:r>
          </a:p>
        </c:rich>
      </c:tx>
      <c:overlay val="0"/>
    </c:title>
    <c:plotArea>
      <c:layout/>
      <c:lineChart>
        <c:varyColors val="0"/>
        <c:ser>
          <c:idx val="0"/>
          <c:order val="0"/>
          <c:spPr>
            <a:ln cmpd="sng">
              <a:solidFill>
                <a:srgbClr val="4285F4"/>
              </a:solidFill>
            </a:ln>
          </c:spPr>
          <c:marker>
            <c:symbol val="none"/>
          </c:marker>
          <c:cat>
            <c:strRef>
              <c:f>STATS!$B$7:$B$49</c:f>
            </c:strRef>
          </c:cat>
          <c:val>
            <c:numRef>
              <c:f>STATS!$C$7:$C$49</c:f>
              <c:numCache/>
            </c:numRef>
          </c:val>
          <c:smooth val="1"/>
        </c:ser>
        <c:axId val="1302242804"/>
        <c:axId val="660926239"/>
      </c:lineChart>
      <c:catAx>
        <c:axId val="13022428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60926239"/>
      </c:catAx>
      <c:valAx>
        <c:axId val="660926239"/>
        <c:scaling>
          <c:orientation val="minMax"/>
          <c:max val="7.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00" sourceLinked="0"/>
        <c:majorTickMark val="none"/>
        <c:minorTickMark val="none"/>
        <c:tickLblPos val="nextTo"/>
        <c:spPr>
          <a:ln/>
        </c:spPr>
        <c:txPr>
          <a:bodyPr/>
          <a:lstStyle/>
          <a:p>
            <a:pPr lvl="0">
              <a:defRPr b="0">
                <a:solidFill>
                  <a:srgbClr val="000000"/>
                </a:solidFill>
                <a:latin typeface="+mn-lt"/>
              </a:defRPr>
            </a:pPr>
          </a:p>
        </c:txPr>
        <c:crossAx val="1302242804"/>
        <c:majorUnit val="0.2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Overall Score</a:t>
            </a:r>
          </a:p>
        </c:rich>
      </c:tx>
      <c:overlay val="0"/>
    </c:title>
    <c:plotArea>
      <c:layout/>
      <c:barChart>
        <c:barDir val="col"/>
        <c:ser>
          <c:idx val="0"/>
          <c:order val="0"/>
          <c:tx>
            <c:strRef>
              <c:f>'Pub Ratings'!$K$1</c:f>
            </c:strRef>
          </c:tx>
          <c:spPr>
            <a:solidFill>
              <a:srgbClr val="4285F4"/>
            </a:solidFill>
            <a:ln cmpd="sng">
              <a:solidFill>
                <a:srgbClr val="000000"/>
              </a:solidFill>
              <a:prstDash val="solid"/>
            </a:ln>
          </c:spPr>
          <c:cat>
            <c:strRef>
              <c:f>'Pub Ratings'!$A$2:$A$64</c:f>
            </c:strRef>
          </c:cat>
          <c:val>
            <c:numRef>
              <c:f>'Pub Ratings'!$K$2:$K$64</c:f>
              <c:numCache/>
            </c:numRef>
          </c:val>
        </c:ser>
        <c:axId val="1094634938"/>
        <c:axId val="2046318237"/>
      </c:barChart>
      <c:catAx>
        <c:axId val="10946349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46318237"/>
      </c:catAx>
      <c:valAx>
        <c:axId val="2046318237"/>
        <c:scaling>
          <c:orientation val="minMax"/>
          <c:max val="9.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9463493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Quarterly KPI performance</a:t>
            </a:r>
          </a:p>
        </c:rich>
      </c:tx>
      <c:overlay val="0"/>
    </c:title>
    <c:plotArea>
      <c:layout/>
      <c:barChart>
        <c:barDir val="col"/>
        <c:ser>
          <c:idx val="0"/>
          <c:order val="0"/>
          <c:spPr>
            <a:solidFill>
              <a:schemeClr val="accent1"/>
            </a:solidFill>
            <a:ln cmpd="sng">
              <a:solidFill>
                <a:srgbClr val="000000"/>
              </a:solidFill>
            </a:ln>
          </c:spPr>
          <c:cat>
            <c:strRef>
              <c:f>STATS!$B$56:$B$70</c:f>
            </c:strRef>
          </c:cat>
          <c:val>
            <c:numRef>
              <c:f>STATS!$C$56:$C$70</c:f>
              <c:numCache/>
            </c:numRef>
          </c:val>
        </c:ser>
        <c:axId val="1385182704"/>
        <c:axId val="1000383533"/>
      </c:barChart>
      <c:catAx>
        <c:axId val="13851827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KPIs</a:t>
                </a:r>
              </a:p>
            </c:rich>
          </c:tx>
          <c:overlay val="0"/>
        </c:title>
        <c:numFmt formatCode="General" sourceLinked="1"/>
        <c:majorTickMark val="none"/>
        <c:minorTickMark val="none"/>
        <c:spPr/>
        <c:txPr>
          <a:bodyPr/>
          <a:lstStyle/>
          <a:p>
            <a:pPr lvl="0">
              <a:defRPr b="0">
                <a:solidFill>
                  <a:srgbClr val="000000"/>
                </a:solidFill>
                <a:latin typeface="+mn-lt"/>
              </a:defRPr>
            </a:pPr>
          </a:p>
        </c:txPr>
        <c:crossAx val="1000383533"/>
      </c:catAx>
      <c:valAx>
        <c:axId val="10003835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85182704"/>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504825</xdr:colOff>
      <xdr:row>6</xdr:row>
      <xdr:rowOff>9525</xdr:rowOff>
    </xdr:from>
    <xdr:ext cx="72009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504825</xdr:colOff>
      <xdr:row>23</xdr:row>
      <xdr:rowOff>76200</xdr:rowOff>
    </xdr:from>
    <xdr:ext cx="11820525" cy="61722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981075</xdr:colOff>
      <xdr:row>54</xdr:row>
      <xdr:rowOff>38100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13"/>
    <col customWidth="1" min="2" max="2" width="10.5"/>
    <col customWidth="1" min="3" max="3" width="7.63"/>
    <col customWidth="1" min="4" max="4" width="13.13"/>
    <col customWidth="1" min="5" max="5" width="64.25"/>
    <col customWidth="1" min="6" max="6" width="14.63"/>
    <col customWidth="1" min="7" max="7" width="9.38"/>
    <col customWidth="1" min="8" max="8" width="10.88"/>
    <col customWidth="1" min="9" max="9" width="18.88"/>
    <col customWidth="1" min="10" max="10" width="14.88"/>
    <col customWidth="1" min="11" max="11" width="14.25"/>
    <col customWidth="1" min="12" max="12" width="68.75"/>
    <col customWidth="1" min="13" max="14" width="25.38"/>
    <col hidden="1" min="15" max="28" width="12.63"/>
  </cols>
  <sheetData>
    <row r="1">
      <c r="A1" s="1" t="s">
        <v>0</v>
      </c>
      <c r="B1" s="1" t="s">
        <v>1</v>
      </c>
      <c r="C1" s="1" t="s">
        <v>2</v>
      </c>
      <c r="D1" s="2" t="s">
        <v>3</v>
      </c>
      <c r="E1" s="1" t="s">
        <v>4</v>
      </c>
      <c r="F1" s="1" t="s">
        <v>5</v>
      </c>
      <c r="G1" s="1" t="s">
        <v>6</v>
      </c>
      <c r="H1" s="1" t="s">
        <v>7</v>
      </c>
      <c r="I1" s="1" t="s">
        <v>8</v>
      </c>
      <c r="J1" s="1" t="s">
        <v>9</v>
      </c>
      <c r="K1" s="1" t="s">
        <v>10</v>
      </c>
      <c r="L1" s="1" t="s">
        <v>11</v>
      </c>
      <c r="M1" s="1" t="s">
        <v>12</v>
      </c>
      <c r="N1" s="1" t="s">
        <v>13</v>
      </c>
    </row>
    <row r="2">
      <c r="A2" s="1" t="s">
        <v>14</v>
      </c>
      <c r="B2" s="1" t="s">
        <v>15</v>
      </c>
      <c r="C2" s="3">
        <v>5.9</v>
      </c>
      <c r="D2" s="4">
        <v>44785.0</v>
      </c>
      <c r="E2" s="1" t="s">
        <v>16</v>
      </c>
      <c r="F2" s="1">
        <v>9.3</v>
      </c>
      <c r="G2" s="1">
        <v>9.4</v>
      </c>
      <c r="H2" s="1">
        <v>8.3</v>
      </c>
      <c r="I2" s="1">
        <v>9.0</v>
      </c>
      <c r="J2" s="1">
        <v>8.8</v>
      </c>
      <c r="K2" s="1">
        <f t="shared" ref="K2:K209" si="1">AVERAGE(F2:J2)</f>
        <v>8.96</v>
      </c>
      <c r="L2" s="5"/>
      <c r="N2" s="6">
        <f t="shared" ref="N2:N87" si="2">AVERAGE(F2,G2,I2,J2)</f>
        <v>9.125</v>
      </c>
    </row>
    <row r="3">
      <c r="A3" s="1" t="s">
        <v>17</v>
      </c>
      <c r="B3" s="1" t="s">
        <v>15</v>
      </c>
      <c r="C3" s="3">
        <v>5.9</v>
      </c>
      <c r="D3" s="4">
        <v>44742.0</v>
      </c>
      <c r="E3" s="1" t="s">
        <v>18</v>
      </c>
      <c r="F3" s="1">
        <v>8.3</v>
      </c>
      <c r="G3" s="1">
        <v>8.3</v>
      </c>
      <c r="H3" s="1">
        <v>7.8</v>
      </c>
      <c r="I3" s="1">
        <v>8.8</v>
      </c>
      <c r="J3" s="1">
        <v>8.8</v>
      </c>
      <c r="K3" s="1">
        <f t="shared" si="1"/>
        <v>8.4</v>
      </c>
      <c r="L3" s="7"/>
      <c r="N3" s="6">
        <f t="shared" si="2"/>
        <v>8.55</v>
      </c>
    </row>
    <row r="4">
      <c r="A4" s="1" t="s">
        <v>19</v>
      </c>
      <c r="B4" s="1" t="s">
        <v>15</v>
      </c>
      <c r="C4" s="3">
        <v>5.9</v>
      </c>
      <c r="D4" s="4" t="s">
        <v>20</v>
      </c>
      <c r="E4" s="1" t="s">
        <v>21</v>
      </c>
      <c r="F4" s="1">
        <v>8.4</v>
      </c>
      <c r="G4" s="1">
        <v>8.3</v>
      </c>
      <c r="H4" s="1">
        <v>7.9</v>
      </c>
      <c r="I4" s="1">
        <v>8.9</v>
      </c>
      <c r="J4" s="1">
        <v>8.0</v>
      </c>
      <c r="K4" s="1">
        <f t="shared" si="1"/>
        <v>8.3</v>
      </c>
      <c r="L4" s="7" t="s">
        <v>22</v>
      </c>
      <c r="N4" s="6">
        <f t="shared" si="2"/>
        <v>8.4</v>
      </c>
    </row>
    <row r="5">
      <c r="A5" s="1" t="s">
        <v>23</v>
      </c>
      <c r="B5" s="3" t="s">
        <v>24</v>
      </c>
      <c r="C5" s="3">
        <v>5.5</v>
      </c>
      <c r="D5" s="4">
        <v>44765.0</v>
      </c>
      <c r="E5" s="1" t="s">
        <v>25</v>
      </c>
      <c r="F5" s="1">
        <v>8.8</v>
      </c>
      <c r="G5" s="1">
        <v>9.1</v>
      </c>
      <c r="H5" s="1">
        <v>7.4</v>
      </c>
      <c r="I5" s="1">
        <v>7.8</v>
      </c>
      <c r="J5" s="1">
        <v>8.2</v>
      </c>
      <c r="K5" s="1">
        <f t="shared" si="1"/>
        <v>8.26</v>
      </c>
      <c r="L5" s="5"/>
      <c r="N5" s="6">
        <f t="shared" si="2"/>
        <v>8.475</v>
      </c>
    </row>
    <row r="6">
      <c r="A6" s="1" t="s">
        <v>26</v>
      </c>
      <c r="B6" s="1" t="s">
        <v>15</v>
      </c>
      <c r="C6" s="3">
        <v>5.9</v>
      </c>
      <c r="D6" s="4">
        <v>44742.0</v>
      </c>
      <c r="E6" s="1" t="s">
        <v>27</v>
      </c>
      <c r="F6" s="1">
        <v>8.7</v>
      </c>
      <c r="G6" s="1">
        <v>8.4</v>
      </c>
      <c r="H6" s="1">
        <v>7.6</v>
      </c>
      <c r="I6" s="1">
        <v>7.7</v>
      </c>
      <c r="J6" s="1">
        <v>8.6</v>
      </c>
      <c r="K6" s="1">
        <f t="shared" si="1"/>
        <v>8.2</v>
      </c>
      <c r="L6" s="5"/>
      <c r="N6" s="6">
        <f t="shared" si="2"/>
        <v>8.35</v>
      </c>
    </row>
    <row r="7">
      <c r="A7" s="1" t="s">
        <v>28</v>
      </c>
      <c r="B7" s="3" t="s">
        <v>15</v>
      </c>
      <c r="C7" s="3">
        <v>5.5</v>
      </c>
      <c r="D7" s="4">
        <v>44735.0</v>
      </c>
      <c r="E7" s="1" t="s">
        <v>29</v>
      </c>
      <c r="F7" s="1">
        <v>8.0</v>
      </c>
      <c r="G7" s="1">
        <v>7.9</v>
      </c>
      <c r="H7" s="1">
        <v>8.6</v>
      </c>
      <c r="I7" s="1">
        <v>8.1</v>
      </c>
      <c r="J7" s="1">
        <v>8.0</v>
      </c>
      <c r="K7" s="1">
        <f t="shared" si="1"/>
        <v>8.12</v>
      </c>
      <c r="L7" s="7" t="s">
        <v>30</v>
      </c>
      <c r="N7" s="6">
        <f t="shared" si="2"/>
        <v>8</v>
      </c>
    </row>
    <row r="8">
      <c r="A8" s="1" t="s">
        <v>31</v>
      </c>
      <c r="B8" s="1" t="s">
        <v>15</v>
      </c>
      <c r="C8" s="3">
        <v>5.7</v>
      </c>
      <c r="D8" s="4" t="s">
        <v>20</v>
      </c>
      <c r="E8" s="1" t="s">
        <v>32</v>
      </c>
      <c r="F8" s="1">
        <v>8.4</v>
      </c>
      <c r="G8" s="1">
        <v>8.3</v>
      </c>
      <c r="H8" s="1">
        <v>8.0</v>
      </c>
      <c r="I8" s="1">
        <v>8.1</v>
      </c>
      <c r="J8" s="1">
        <v>7.8</v>
      </c>
      <c r="K8" s="1">
        <f t="shared" si="1"/>
        <v>8.12</v>
      </c>
      <c r="L8" s="7" t="s">
        <v>33</v>
      </c>
      <c r="N8" s="6">
        <f t="shared" si="2"/>
        <v>8.15</v>
      </c>
    </row>
    <row r="9">
      <c r="A9" s="1" t="s">
        <v>34</v>
      </c>
      <c r="B9" s="3" t="s">
        <v>24</v>
      </c>
      <c r="C9" s="3">
        <v>5.7</v>
      </c>
      <c r="D9" s="4">
        <v>44765.0</v>
      </c>
      <c r="E9" s="1" t="s">
        <v>25</v>
      </c>
      <c r="F9" s="1">
        <v>8.2</v>
      </c>
      <c r="G9" s="1">
        <v>7.9</v>
      </c>
      <c r="H9" s="1">
        <v>8.8</v>
      </c>
      <c r="I9" s="1">
        <v>7.8</v>
      </c>
      <c r="J9" s="1">
        <v>7.8</v>
      </c>
      <c r="K9" s="1">
        <f t="shared" si="1"/>
        <v>8.1</v>
      </c>
      <c r="L9" s="5"/>
      <c r="N9" s="6">
        <f t="shared" si="2"/>
        <v>7.925</v>
      </c>
    </row>
    <row r="10">
      <c r="A10" s="1" t="s">
        <v>35</v>
      </c>
      <c r="B10" s="1" t="s">
        <v>36</v>
      </c>
      <c r="C10" s="3">
        <v>5.5</v>
      </c>
      <c r="D10" s="4" t="s">
        <v>20</v>
      </c>
      <c r="E10" s="1" t="s">
        <v>37</v>
      </c>
      <c r="F10" s="1">
        <v>8.0</v>
      </c>
      <c r="G10" s="1">
        <v>8.0</v>
      </c>
      <c r="H10" s="1">
        <v>7.7</v>
      </c>
      <c r="I10" s="1">
        <v>8.8</v>
      </c>
      <c r="J10" s="1">
        <v>8.0</v>
      </c>
      <c r="K10" s="1">
        <f t="shared" si="1"/>
        <v>8.1</v>
      </c>
      <c r="L10" s="7" t="s">
        <v>38</v>
      </c>
      <c r="N10" s="6">
        <f t="shared" si="2"/>
        <v>8.2</v>
      </c>
    </row>
    <row r="11">
      <c r="A11" s="1" t="s">
        <v>39</v>
      </c>
      <c r="B11" s="1" t="s">
        <v>40</v>
      </c>
      <c r="C11" s="8">
        <v>5.9</v>
      </c>
      <c r="D11" s="4">
        <v>44876.0</v>
      </c>
      <c r="E11" s="1" t="s">
        <v>41</v>
      </c>
      <c r="F11" s="1">
        <v>8.5</v>
      </c>
      <c r="G11" s="1">
        <v>8.0</v>
      </c>
      <c r="H11" s="1">
        <v>7.8</v>
      </c>
      <c r="I11" s="1">
        <v>8.0</v>
      </c>
      <c r="J11" s="1">
        <v>8.1</v>
      </c>
      <c r="K11" s="1">
        <f t="shared" si="1"/>
        <v>8.08</v>
      </c>
      <c r="L11" s="5"/>
      <c r="N11" s="6">
        <f t="shared" si="2"/>
        <v>8.15</v>
      </c>
    </row>
    <row r="12">
      <c r="A12" s="1" t="s">
        <v>42</v>
      </c>
      <c r="B12" s="3" t="s">
        <v>40</v>
      </c>
      <c r="C12" s="3">
        <v>4.8</v>
      </c>
      <c r="D12" s="4">
        <v>44894.0</v>
      </c>
      <c r="E12" s="1" t="s">
        <v>43</v>
      </c>
      <c r="F12" s="1">
        <v>8.6</v>
      </c>
      <c r="G12" s="1">
        <v>8.2</v>
      </c>
      <c r="H12" s="1">
        <v>7.7</v>
      </c>
      <c r="I12" s="1">
        <v>8.2</v>
      </c>
      <c r="J12" s="1">
        <v>7.6</v>
      </c>
      <c r="K12" s="1">
        <f t="shared" si="1"/>
        <v>8.06</v>
      </c>
      <c r="L12" s="7" t="s">
        <v>44</v>
      </c>
      <c r="N12" s="6">
        <f t="shared" si="2"/>
        <v>8.15</v>
      </c>
    </row>
    <row r="13">
      <c r="A13" s="1" t="s">
        <v>45</v>
      </c>
      <c r="B13" s="1" t="s">
        <v>15</v>
      </c>
      <c r="C13" s="3" t="s">
        <v>20</v>
      </c>
      <c r="D13" s="4">
        <v>45634.0</v>
      </c>
      <c r="E13" s="1" t="s">
        <v>46</v>
      </c>
      <c r="F13" s="1">
        <v>8.2</v>
      </c>
      <c r="G13" s="1">
        <v>7.9</v>
      </c>
      <c r="H13" s="1">
        <v>8.4</v>
      </c>
      <c r="I13" s="1">
        <v>7.4</v>
      </c>
      <c r="J13" s="1">
        <v>8.4</v>
      </c>
      <c r="K13" s="1">
        <f t="shared" si="1"/>
        <v>8.06</v>
      </c>
      <c r="L13" s="7" t="s">
        <v>47</v>
      </c>
      <c r="M13" s="1" t="s">
        <v>48</v>
      </c>
      <c r="N13" s="6">
        <f t="shared" si="2"/>
        <v>7.975</v>
      </c>
    </row>
    <row r="14">
      <c r="A14" s="1" t="s">
        <v>49</v>
      </c>
      <c r="B14" s="3" t="s">
        <v>40</v>
      </c>
      <c r="C14" s="3">
        <v>5.4</v>
      </c>
      <c r="D14" s="4">
        <v>44837.0</v>
      </c>
      <c r="E14" s="1" t="s">
        <v>50</v>
      </c>
      <c r="F14" s="1">
        <v>8.6</v>
      </c>
      <c r="G14" s="1">
        <v>8.5</v>
      </c>
      <c r="H14" s="1">
        <v>8.9</v>
      </c>
      <c r="I14" s="1">
        <v>8.0</v>
      </c>
      <c r="J14" s="1">
        <v>6.1</v>
      </c>
      <c r="K14" s="1">
        <f t="shared" si="1"/>
        <v>8.02</v>
      </c>
      <c r="L14" s="5"/>
      <c r="N14" s="6">
        <f t="shared" si="2"/>
        <v>7.8</v>
      </c>
    </row>
    <row r="15">
      <c r="A15" s="1" t="s">
        <v>51</v>
      </c>
      <c r="B15" s="1" t="s">
        <v>15</v>
      </c>
      <c r="C15" s="3">
        <v>5.8</v>
      </c>
      <c r="D15" s="4">
        <v>44742.0</v>
      </c>
      <c r="E15" s="1" t="s">
        <v>52</v>
      </c>
      <c r="F15" s="1">
        <v>7.5</v>
      </c>
      <c r="G15" s="1">
        <v>7.8</v>
      </c>
      <c r="H15" s="1">
        <v>7.5</v>
      </c>
      <c r="I15" s="1">
        <v>8.1</v>
      </c>
      <c r="J15" s="1">
        <v>9.1</v>
      </c>
      <c r="K15" s="1">
        <f t="shared" si="1"/>
        <v>8</v>
      </c>
      <c r="L15" s="5"/>
      <c r="N15" s="6">
        <f t="shared" si="2"/>
        <v>8.125</v>
      </c>
    </row>
    <row r="16">
      <c r="A16" s="1" t="s">
        <v>53</v>
      </c>
      <c r="B16" s="3" t="s">
        <v>40</v>
      </c>
      <c r="C16" s="3">
        <v>5.0</v>
      </c>
      <c r="D16" s="4">
        <v>44822.0</v>
      </c>
      <c r="E16" s="1" t="s">
        <v>54</v>
      </c>
      <c r="F16" s="1">
        <v>8.3</v>
      </c>
      <c r="G16" s="1">
        <v>8.1</v>
      </c>
      <c r="H16" s="1">
        <v>8.5</v>
      </c>
      <c r="I16" s="1">
        <v>7.7</v>
      </c>
      <c r="J16" s="1">
        <v>7.4</v>
      </c>
      <c r="K16" s="1">
        <f t="shared" si="1"/>
        <v>8</v>
      </c>
      <c r="L16" s="5"/>
      <c r="N16" s="6">
        <f t="shared" si="2"/>
        <v>7.875</v>
      </c>
    </row>
    <row r="17">
      <c r="A17" s="1" t="s">
        <v>55</v>
      </c>
      <c r="B17" s="3" t="s">
        <v>40</v>
      </c>
      <c r="C17" s="3">
        <v>5.5</v>
      </c>
      <c r="D17" s="4">
        <v>44783.0</v>
      </c>
      <c r="E17" s="1" t="s">
        <v>56</v>
      </c>
      <c r="F17" s="1">
        <v>7.5</v>
      </c>
      <c r="G17" s="1">
        <v>7.7</v>
      </c>
      <c r="H17" s="1">
        <v>7.9</v>
      </c>
      <c r="I17" s="1">
        <v>7.9</v>
      </c>
      <c r="J17" s="1">
        <v>8.7</v>
      </c>
      <c r="K17" s="1">
        <f t="shared" si="1"/>
        <v>7.94</v>
      </c>
      <c r="L17" s="5"/>
      <c r="N17" s="6">
        <f t="shared" si="2"/>
        <v>7.95</v>
      </c>
    </row>
    <row r="18">
      <c r="A18" s="1" t="s">
        <v>57</v>
      </c>
      <c r="B18" s="3" t="s">
        <v>40</v>
      </c>
      <c r="C18" s="3">
        <v>5.6</v>
      </c>
      <c r="D18" s="4">
        <v>44783.0</v>
      </c>
      <c r="E18" s="1" t="s">
        <v>56</v>
      </c>
      <c r="F18" s="1">
        <v>8.5</v>
      </c>
      <c r="G18" s="1">
        <v>7.8</v>
      </c>
      <c r="H18" s="1">
        <v>7.1</v>
      </c>
      <c r="I18" s="1">
        <v>8.4</v>
      </c>
      <c r="J18" s="1">
        <v>7.9</v>
      </c>
      <c r="K18" s="1">
        <f t="shared" si="1"/>
        <v>7.94</v>
      </c>
      <c r="L18" s="5"/>
      <c r="N18" s="6">
        <f t="shared" si="2"/>
        <v>8.15</v>
      </c>
    </row>
    <row r="19">
      <c r="A19" s="1" t="s">
        <v>58</v>
      </c>
      <c r="B19" s="1" t="s">
        <v>24</v>
      </c>
      <c r="C19" s="3">
        <v>6.25</v>
      </c>
      <c r="D19" s="4">
        <v>45913.0</v>
      </c>
      <c r="E19" s="1" t="s">
        <v>59</v>
      </c>
      <c r="F19" s="1">
        <v>7.9</v>
      </c>
      <c r="G19" s="1">
        <v>7.7</v>
      </c>
      <c r="H19" s="1">
        <v>7.3</v>
      </c>
      <c r="I19" s="1">
        <v>7.7</v>
      </c>
      <c r="J19" s="1">
        <v>9.0</v>
      </c>
      <c r="K19" s="1">
        <f t="shared" si="1"/>
        <v>7.92</v>
      </c>
      <c r="L19" s="7" t="s">
        <v>60</v>
      </c>
      <c r="M19" s="1" t="s">
        <v>48</v>
      </c>
      <c r="N19" s="6">
        <f t="shared" si="2"/>
        <v>8.075</v>
      </c>
    </row>
    <row r="20">
      <c r="A20" s="1" t="s">
        <v>61</v>
      </c>
      <c r="B20" s="1" t="s">
        <v>36</v>
      </c>
      <c r="C20" s="3">
        <v>5.0</v>
      </c>
      <c r="D20" s="4">
        <v>44849.0</v>
      </c>
      <c r="E20" s="1" t="s">
        <v>62</v>
      </c>
      <c r="F20" s="1">
        <v>7.7</v>
      </c>
      <c r="G20" s="1">
        <v>7.9</v>
      </c>
      <c r="H20" s="1">
        <v>8.8</v>
      </c>
      <c r="I20" s="1">
        <v>7.6</v>
      </c>
      <c r="J20" s="1">
        <v>7.5</v>
      </c>
      <c r="K20" s="1">
        <f t="shared" si="1"/>
        <v>7.9</v>
      </c>
      <c r="L20" s="5"/>
      <c r="N20" s="6">
        <f t="shared" si="2"/>
        <v>7.675</v>
      </c>
    </row>
    <row r="21">
      <c r="A21" s="1" t="s">
        <v>63</v>
      </c>
      <c r="B21" s="1" t="s">
        <v>15</v>
      </c>
      <c r="C21" s="3">
        <v>5.9</v>
      </c>
      <c r="D21" s="4">
        <v>44755.0</v>
      </c>
      <c r="E21" s="1" t="s">
        <v>64</v>
      </c>
      <c r="F21" s="1">
        <v>7.7</v>
      </c>
      <c r="G21" s="1">
        <v>7.7</v>
      </c>
      <c r="H21" s="1">
        <v>7.6</v>
      </c>
      <c r="I21" s="1">
        <v>7.9</v>
      </c>
      <c r="J21" s="1">
        <v>8.4</v>
      </c>
      <c r="K21" s="1">
        <f t="shared" si="1"/>
        <v>7.86</v>
      </c>
      <c r="L21" s="5"/>
      <c r="N21" s="6">
        <f t="shared" si="2"/>
        <v>7.925</v>
      </c>
    </row>
    <row r="22">
      <c r="A22" s="1" t="s">
        <v>65</v>
      </c>
      <c r="B22" s="3" t="s">
        <v>40</v>
      </c>
      <c r="C22" s="3">
        <v>5.7</v>
      </c>
      <c r="D22" s="4">
        <v>44826.0</v>
      </c>
      <c r="E22" s="1" t="s">
        <v>66</v>
      </c>
      <c r="F22" s="1">
        <v>7.9</v>
      </c>
      <c r="G22" s="1">
        <v>7.6</v>
      </c>
      <c r="H22" s="1">
        <v>7.6</v>
      </c>
      <c r="I22" s="1">
        <v>8.2</v>
      </c>
      <c r="J22" s="1">
        <v>8.0</v>
      </c>
      <c r="K22" s="1">
        <f t="shared" si="1"/>
        <v>7.86</v>
      </c>
      <c r="L22" s="5"/>
      <c r="N22" s="6">
        <f t="shared" si="2"/>
        <v>7.925</v>
      </c>
    </row>
    <row r="23">
      <c r="A23" s="1" t="s">
        <v>67</v>
      </c>
      <c r="B23" s="3" t="s">
        <v>40</v>
      </c>
      <c r="C23" s="3">
        <v>5.3</v>
      </c>
      <c r="D23" s="4">
        <v>44854.0</v>
      </c>
      <c r="E23" s="1" t="s">
        <v>68</v>
      </c>
      <c r="F23" s="1">
        <v>8.4</v>
      </c>
      <c r="G23" s="1">
        <v>7.9</v>
      </c>
      <c r="H23" s="1">
        <v>6.8</v>
      </c>
      <c r="I23" s="1">
        <v>8.4</v>
      </c>
      <c r="J23" s="1">
        <v>7.7</v>
      </c>
      <c r="K23" s="1">
        <f t="shared" si="1"/>
        <v>7.84</v>
      </c>
      <c r="L23" s="5"/>
      <c r="N23" s="6">
        <f t="shared" si="2"/>
        <v>8.1</v>
      </c>
    </row>
    <row r="24">
      <c r="A24" s="1" t="s">
        <v>69</v>
      </c>
      <c r="B24" s="3" t="s">
        <v>40</v>
      </c>
      <c r="C24" s="3">
        <v>5.6</v>
      </c>
      <c r="D24" s="4">
        <v>44854.0</v>
      </c>
      <c r="E24" s="1" t="s">
        <v>70</v>
      </c>
      <c r="F24" s="1">
        <v>7.9</v>
      </c>
      <c r="G24" s="1">
        <v>7.0</v>
      </c>
      <c r="H24" s="1">
        <v>8.6</v>
      </c>
      <c r="I24" s="1">
        <v>8.3</v>
      </c>
      <c r="J24" s="1">
        <v>7.3</v>
      </c>
      <c r="K24" s="1">
        <f t="shared" si="1"/>
        <v>7.82</v>
      </c>
      <c r="L24" s="5"/>
      <c r="N24" s="6">
        <f t="shared" si="2"/>
        <v>7.625</v>
      </c>
    </row>
    <row r="25">
      <c r="A25" s="1" t="s">
        <v>71</v>
      </c>
      <c r="B25" s="3" t="s">
        <v>40</v>
      </c>
      <c r="C25" s="3">
        <v>5.5</v>
      </c>
      <c r="D25" s="9" t="s">
        <v>20</v>
      </c>
      <c r="E25" s="1" t="s">
        <v>72</v>
      </c>
      <c r="F25" s="1">
        <v>7.9</v>
      </c>
      <c r="G25" s="1">
        <v>7.9</v>
      </c>
      <c r="H25" s="1">
        <v>7.8</v>
      </c>
      <c r="I25" s="1">
        <v>8.1</v>
      </c>
      <c r="J25" s="1">
        <v>7.4</v>
      </c>
      <c r="K25" s="1">
        <f t="shared" si="1"/>
        <v>7.82</v>
      </c>
      <c r="L25" s="7" t="s">
        <v>73</v>
      </c>
      <c r="N25" s="6">
        <f t="shared" si="2"/>
        <v>7.825</v>
      </c>
    </row>
    <row r="26">
      <c r="A26" s="1" t="s">
        <v>74</v>
      </c>
      <c r="B26" s="1" t="s">
        <v>15</v>
      </c>
      <c r="C26" s="3">
        <v>5.9</v>
      </c>
      <c r="D26" s="4">
        <v>44794.0</v>
      </c>
      <c r="E26" s="1" t="s">
        <v>75</v>
      </c>
      <c r="F26" s="1">
        <v>8.4</v>
      </c>
      <c r="G26" s="1">
        <v>7.8</v>
      </c>
      <c r="H26" s="1">
        <v>7.2</v>
      </c>
      <c r="I26" s="1">
        <v>7.0</v>
      </c>
      <c r="J26" s="1">
        <v>8.7</v>
      </c>
      <c r="K26" s="1">
        <f t="shared" si="1"/>
        <v>7.82</v>
      </c>
      <c r="L26" s="5"/>
      <c r="N26" s="6">
        <f t="shared" si="2"/>
        <v>7.975</v>
      </c>
    </row>
    <row r="27">
      <c r="A27" s="1" t="s">
        <v>76</v>
      </c>
      <c r="B27" s="1" t="s">
        <v>77</v>
      </c>
      <c r="C27" s="10">
        <v>5.8</v>
      </c>
      <c r="D27" s="4">
        <v>44889.0</v>
      </c>
      <c r="E27" s="11" t="s">
        <v>78</v>
      </c>
      <c r="F27" s="1">
        <v>7.9</v>
      </c>
      <c r="G27" s="1">
        <v>7.8</v>
      </c>
      <c r="H27" s="1">
        <v>7.5</v>
      </c>
      <c r="I27" s="1">
        <v>7.7</v>
      </c>
      <c r="J27" s="1">
        <v>8.2</v>
      </c>
      <c r="K27" s="1">
        <f t="shared" si="1"/>
        <v>7.82</v>
      </c>
      <c r="L27" s="5"/>
      <c r="N27" s="6">
        <f t="shared" si="2"/>
        <v>7.9</v>
      </c>
    </row>
    <row r="28">
      <c r="A28" s="1" t="s">
        <v>79</v>
      </c>
      <c r="B28" s="1" t="s">
        <v>15</v>
      </c>
      <c r="C28" s="3">
        <v>5.95</v>
      </c>
      <c r="D28" s="4">
        <v>44878.0</v>
      </c>
      <c r="E28" s="1" t="s">
        <v>80</v>
      </c>
      <c r="F28" s="1">
        <v>8.1</v>
      </c>
      <c r="G28" s="1">
        <v>8.1</v>
      </c>
      <c r="H28" s="1">
        <v>7.6</v>
      </c>
      <c r="I28" s="1">
        <v>7.6</v>
      </c>
      <c r="J28" s="1">
        <v>7.6</v>
      </c>
      <c r="K28" s="1">
        <f t="shared" si="1"/>
        <v>7.8</v>
      </c>
      <c r="L28" s="5"/>
      <c r="N28" s="6">
        <f t="shared" si="2"/>
        <v>7.85</v>
      </c>
    </row>
    <row r="29">
      <c r="A29" s="1" t="s">
        <v>81</v>
      </c>
      <c r="B29" s="1" t="s">
        <v>40</v>
      </c>
      <c r="C29" s="3">
        <v>5.75</v>
      </c>
      <c r="D29" s="4">
        <v>45270.0</v>
      </c>
      <c r="E29" s="1" t="s">
        <v>82</v>
      </c>
      <c r="F29" s="1">
        <v>7.5</v>
      </c>
      <c r="G29" s="1">
        <v>7.8</v>
      </c>
      <c r="H29" s="1">
        <v>7.4</v>
      </c>
      <c r="I29" s="1">
        <v>7.7</v>
      </c>
      <c r="J29" s="1">
        <v>8.5</v>
      </c>
      <c r="K29" s="1">
        <f t="shared" si="1"/>
        <v>7.78</v>
      </c>
      <c r="L29" s="7" t="s">
        <v>83</v>
      </c>
      <c r="N29" s="6">
        <f t="shared" si="2"/>
        <v>7.875</v>
      </c>
    </row>
    <row r="30">
      <c r="A30" s="1" t="s">
        <v>84</v>
      </c>
      <c r="B30" s="3" t="s">
        <v>40</v>
      </c>
      <c r="C30" s="3">
        <v>5.5</v>
      </c>
      <c r="D30" s="4">
        <v>44907.0</v>
      </c>
      <c r="E30" s="1" t="s">
        <v>85</v>
      </c>
      <c r="F30" s="1">
        <v>7.9</v>
      </c>
      <c r="G30" s="1">
        <v>7.7</v>
      </c>
      <c r="H30" s="1">
        <v>7.7</v>
      </c>
      <c r="I30" s="1">
        <v>7.8</v>
      </c>
      <c r="J30" s="1">
        <v>7.8</v>
      </c>
      <c r="K30" s="1">
        <f t="shared" si="1"/>
        <v>7.78</v>
      </c>
      <c r="L30" s="7" t="s">
        <v>86</v>
      </c>
      <c r="N30" s="6">
        <f t="shared" si="2"/>
        <v>7.8</v>
      </c>
    </row>
    <row r="31" ht="18.0" customHeight="1">
      <c r="A31" s="1" t="s">
        <v>87</v>
      </c>
      <c r="B31" s="3" t="s">
        <v>24</v>
      </c>
      <c r="C31" s="3">
        <v>6.6</v>
      </c>
      <c r="D31" s="4">
        <v>45219.0</v>
      </c>
      <c r="E31" s="1" t="s">
        <v>88</v>
      </c>
      <c r="F31" s="1">
        <v>8.0</v>
      </c>
      <c r="G31" s="1">
        <v>7.4</v>
      </c>
      <c r="H31" s="1">
        <v>7.5</v>
      </c>
      <c r="I31" s="1">
        <v>8.1</v>
      </c>
      <c r="J31" s="1">
        <v>7.8</v>
      </c>
      <c r="K31" s="1">
        <f t="shared" si="1"/>
        <v>7.76</v>
      </c>
      <c r="L31" s="7" t="s">
        <v>89</v>
      </c>
      <c r="N31" s="6">
        <f t="shared" si="2"/>
        <v>7.825</v>
      </c>
    </row>
    <row r="32">
      <c r="A32" s="1" t="s">
        <v>90</v>
      </c>
      <c r="B32" s="1" t="s">
        <v>40</v>
      </c>
      <c r="C32" s="3">
        <v>5.9</v>
      </c>
      <c r="D32" s="4">
        <v>45270.0</v>
      </c>
      <c r="E32" s="1" t="s">
        <v>82</v>
      </c>
      <c r="F32" s="1">
        <v>7.8</v>
      </c>
      <c r="G32" s="1">
        <v>7.4</v>
      </c>
      <c r="H32" s="1">
        <v>7.4</v>
      </c>
      <c r="I32" s="1">
        <v>8.0</v>
      </c>
      <c r="J32" s="1">
        <v>8.2</v>
      </c>
      <c r="K32" s="1">
        <f t="shared" si="1"/>
        <v>7.76</v>
      </c>
      <c r="L32" s="7" t="s">
        <v>91</v>
      </c>
      <c r="N32" s="6">
        <f t="shared" si="2"/>
        <v>7.85</v>
      </c>
    </row>
    <row r="33">
      <c r="A33" s="1" t="s">
        <v>92</v>
      </c>
      <c r="B33" s="1" t="s">
        <v>36</v>
      </c>
      <c r="C33" s="3">
        <v>6.5</v>
      </c>
      <c r="D33" s="4">
        <v>45326.0</v>
      </c>
      <c r="E33" s="1" t="s">
        <v>93</v>
      </c>
      <c r="F33" s="1">
        <v>7.6</v>
      </c>
      <c r="G33" s="1">
        <v>7.2</v>
      </c>
      <c r="H33" s="1">
        <v>7.7</v>
      </c>
      <c r="I33" s="1">
        <v>8.0</v>
      </c>
      <c r="J33" s="1">
        <v>8.3</v>
      </c>
      <c r="K33" s="1">
        <f t="shared" si="1"/>
        <v>7.76</v>
      </c>
      <c r="L33" s="7" t="s">
        <v>94</v>
      </c>
      <c r="N33" s="6">
        <f t="shared" si="2"/>
        <v>7.775</v>
      </c>
    </row>
    <row r="34">
      <c r="A34" s="1" t="s">
        <v>95</v>
      </c>
      <c r="B34" s="1" t="s">
        <v>40</v>
      </c>
      <c r="C34" s="3">
        <v>4.9</v>
      </c>
      <c r="D34" s="4" t="s">
        <v>20</v>
      </c>
      <c r="E34" s="1" t="s">
        <v>96</v>
      </c>
      <c r="F34" s="1">
        <v>7.5</v>
      </c>
      <c r="G34" s="1">
        <v>7.1</v>
      </c>
      <c r="H34" s="1">
        <v>7.3</v>
      </c>
      <c r="I34" s="1">
        <v>8.6</v>
      </c>
      <c r="J34" s="1">
        <v>8.2</v>
      </c>
      <c r="K34" s="1">
        <f t="shared" si="1"/>
        <v>7.74</v>
      </c>
      <c r="L34" s="7" t="s">
        <v>97</v>
      </c>
      <c r="N34" s="6">
        <f t="shared" si="2"/>
        <v>7.85</v>
      </c>
    </row>
    <row r="35">
      <c r="A35" s="1" t="s">
        <v>98</v>
      </c>
      <c r="B35" s="1" t="s">
        <v>15</v>
      </c>
      <c r="C35" s="3">
        <v>5.8</v>
      </c>
      <c r="D35" s="4">
        <v>44755.0</v>
      </c>
      <c r="E35" s="1" t="s">
        <v>75</v>
      </c>
      <c r="F35" s="1">
        <v>7.1</v>
      </c>
      <c r="G35" s="1">
        <v>7.7</v>
      </c>
      <c r="H35" s="1">
        <v>7.9</v>
      </c>
      <c r="I35" s="1">
        <v>7.6</v>
      </c>
      <c r="J35" s="1">
        <v>8.3</v>
      </c>
      <c r="K35" s="1">
        <f t="shared" si="1"/>
        <v>7.72</v>
      </c>
      <c r="L35" s="5"/>
      <c r="N35" s="6">
        <f t="shared" si="2"/>
        <v>7.675</v>
      </c>
    </row>
    <row r="36">
      <c r="A36" s="1" t="s">
        <v>99</v>
      </c>
      <c r="B36" s="1" t="s">
        <v>15</v>
      </c>
      <c r="C36" s="3">
        <v>6.6</v>
      </c>
      <c r="D36" s="4">
        <v>45618.0</v>
      </c>
      <c r="E36" s="1" t="s">
        <v>100</v>
      </c>
      <c r="F36" s="1">
        <v>7.8</v>
      </c>
      <c r="G36" s="1">
        <v>7.5</v>
      </c>
      <c r="H36" s="1">
        <v>7.4</v>
      </c>
      <c r="I36" s="1">
        <v>7.6</v>
      </c>
      <c r="J36" s="1">
        <v>8.3</v>
      </c>
      <c r="K36" s="1">
        <f t="shared" si="1"/>
        <v>7.72</v>
      </c>
      <c r="L36" s="7" t="s">
        <v>101</v>
      </c>
      <c r="M36" s="1" t="s">
        <v>102</v>
      </c>
      <c r="N36" s="6">
        <f t="shared" si="2"/>
        <v>7.8</v>
      </c>
    </row>
    <row r="37">
      <c r="A37" s="1" t="s">
        <v>103</v>
      </c>
      <c r="B37" s="3" t="s">
        <v>15</v>
      </c>
      <c r="C37" s="3">
        <v>5.9</v>
      </c>
      <c r="D37" s="4">
        <v>44735.0</v>
      </c>
      <c r="E37" s="1" t="s">
        <v>29</v>
      </c>
      <c r="F37" s="1">
        <v>8.4</v>
      </c>
      <c r="G37" s="1">
        <v>8.4</v>
      </c>
      <c r="H37" s="1">
        <v>6.3</v>
      </c>
      <c r="I37" s="1">
        <v>7.2</v>
      </c>
      <c r="J37" s="1">
        <v>8.3</v>
      </c>
      <c r="K37" s="1">
        <f t="shared" si="1"/>
        <v>7.72</v>
      </c>
      <c r="L37" s="7" t="s">
        <v>104</v>
      </c>
      <c r="N37" s="6">
        <f t="shared" si="2"/>
        <v>8.075</v>
      </c>
    </row>
    <row r="38">
      <c r="A38" s="1" t="s">
        <v>105</v>
      </c>
      <c r="B38" s="1" t="s">
        <v>15</v>
      </c>
      <c r="C38" s="3">
        <v>6.0</v>
      </c>
      <c r="D38" s="4">
        <v>44830.0</v>
      </c>
      <c r="E38" s="1" t="s">
        <v>106</v>
      </c>
      <c r="F38" s="1">
        <v>8.4</v>
      </c>
      <c r="G38" s="1">
        <v>7.9</v>
      </c>
      <c r="H38" s="1">
        <v>6.8</v>
      </c>
      <c r="I38" s="1">
        <v>8.0</v>
      </c>
      <c r="J38" s="1">
        <v>7.5</v>
      </c>
      <c r="K38" s="1">
        <f t="shared" si="1"/>
        <v>7.72</v>
      </c>
      <c r="L38" s="5"/>
      <c r="N38" s="6">
        <f t="shared" si="2"/>
        <v>7.95</v>
      </c>
    </row>
    <row r="39">
      <c r="A39" s="1" t="s">
        <v>107</v>
      </c>
      <c r="B39" s="1" t="s">
        <v>40</v>
      </c>
      <c r="C39" s="1" t="s">
        <v>20</v>
      </c>
      <c r="D39" s="4" t="s">
        <v>20</v>
      </c>
      <c r="E39" s="1" t="s">
        <v>108</v>
      </c>
      <c r="F39" s="1">
        <v>7.3</v>
      </c>
      <c r="G39" s="1">
        <v>7.3</v>
      </c>
      <c r="H39" s="1">
        <v>8.0</v>
      </c>
      <c r="I39" s="1">
        <v>7.9</v>
      </c>
      <c r="J39" s="1">
        <v>8.1</v>
      </c>
      <c r="K39" s="1">
        <f t="shared" si="1"/>
        <v>7.72</v>
      </c>
      <c r="L39" s="7" t="s">
        <v>109</v>
      </c>
      <c r="N39" s="6">
        <f t="shared" si="2"/>
        <v>7.65</v>
      </c>
    </row>
    <row r="40">
      <c r="A40" s="1" t="s">
        <v>110</v>
      </c>
      <c r="B40" s="3" t="s">
        <v>15</v>
      </c>
      <c r="C40" s="3">
        <v>5.4</v>
      </c>
      <c r="D40" s="4" t="s">
        <v>20</v>
      </c>
      <c r="E40" s="1" t="s">
        <v>111</v>
      </c>
      <c r="F40" s="1">
        <v>7.9</v>
      </c>
      <c r="G40" s="1">
        <v>7.7</v>
      </c>
      <c r="H40" s="1">
        <v>7.0</v>
      </c>
      <c r="I40" s="1">
        <v>8.1</v>
      </c>
      <c r="J40" s="1">
        <v>7.9</v>
      </c>
      <c r="K40" s="1">
        <f t="shared" si="1"/>
        <v>7.72</v>
      </c>
      <c r="L40" s="7" t="s">
        <v>112</v>
      </c>
      <c r="N40" s="6">
        <f t="shared" si="2"/>
        <v>7.9</v>
      </c>
    </row>
    <row r="41">
      <c r="A41" s="1" t="s">
        <v>113</v>
      </c>
      <c r="B41" s="1" t="s">
        <v>15</v>
      </c>
      <c r="C41" s="1" t="s">
        <v>20</v>
      </c>
      <c r="D41" s="4" t="s">
        <v>20</v>
      </c>
      <c r="E41" s="1" t="s">
        <v>114</v>
      </c>
      <c r="F41" s="1">
        <v>8.0</v>
      </c>
      <c r="G41" s="1">
        <v>7.5</v>
      </c>
      <c r="H41" s="1">
        <v>7.3</v>
      </c>
      <c r="I41" s="1">
        <v>7.6</v>
      </c>
      <c r="J41" s="1">
        <v>8.2</v>
      </c>
      <c r="K41" s="1">
        <f t="shared" si="1"/>
        <v>7.72</v>
      </c>
      <c r="L41" s="5"/>
      <c r="N41" s="6">
        <f t="shared" si="2"/>
        <v>7.825</v>
      </c>
    </row>
    <row r="42">
      <c r="A42" s="1" t="s">
        <v>115</v>
      </c>
      <c r="B42" s="1" t="s">
        <v>15</v>
      </c>
      <c r="C42" s="3">
        <v>5.7</v>
      </c>
      <c r="D42" s="4">
        <v>44859.0</v>
      </c>
      <c r="E42" s="1" t="s">
        <v>70</v>
      </c>
      <c r="F42" s="1">
        <v>7.6</v>
      </c>
      <c r="G42" s="1">
        <v>7.5</v>
      </c>
      <c r="H42" s="1">
        <v>8.3</v>
      </c>
      <c r="I42" s="1">
        <v>7.4</v>
      </c>
      <c r="J42" s="1">
        <v>7.7</v>
      </c>
      <c r="K42" s="1">
        <f t="shared" si="1"/>
        <v>7.7</v>
      </c>
      <c r="L42" s="5"/>
      <c r="N42" s="6">
        <f t="shared" si="2"/>
        <v>7.55</v>
      </c>
    </row>
    <row r="43">
      <c r="A43" s="1" t="s">
        <v>116</v>
      </c>
      <c r="B43" s="1" t="s">
        <v>36</v>
      </c>
      <c r="C43" s="3">
        <v>5.7</v>
      </c>
      <c r="D43" s="4">
        <v>44849.0</v>
      </c>
      <c r="E43" s="1" t="s">
        <v>117</v>
      </c>
      <c r="F43" s="1">
        <v>7.9</v>
      </c>
      <c r="G43" s="1">
        <v>7.9</v>
      </c>
      <c r="H43" s="1">
        <v>6.4</v>
      </c>
      <c r="I43" s="1">
        <v>7.6</v>
      </c>
      <c r="J43" s="1">
        <v>8.6</v>
      </c>
      <c r="K43" s="1">
        <f t="shared" si="1"/>
        <v>7.68</v>
      </c>
      <c r="L43" s="7" t="s">
        <v>118</v>
      </c>
      <c r="N43" s="6">
        <f t="shared" si="2"/>
        <v>8</v>
      </c>
    </row>
    <row r="44">
      <c r="A44" s="1" t="s">
        <v>119</v>
      </c>
      <c r="B44" s="1" t="s">
        <v>24</v>
      </c>
      <c r="C44" s="3">
        <v>5.5</v>
      </c>
      <c r="D44" s="4">
        <v>45963.0</v>
      </c>
      <c r="E44" s="1" t="s">
        <v>120</v>
      </c>
      <c r="F44" s="1">
        <v>7.0</v>
      </c>
      <c r="G44" s="1">
        <v>7.3</v>
      </c>
      <c r="H44" s="1">
        <v>8.8</v>
      </c>
      <c r="I44" s="1">
        <v>8.5</v>
      </c>
      <c r="J44" s="1">
        <v>6.8</v>
      </c>
      <c r="K44" s="1">
        <f t="shared" si="1"/>
        <v>7.68</v>
      </c>
      <c r="L44" s="7" t="s">
        <v>121</v>
      </c>
      <c r="M44" s="1" t="s">
        <v>48</v>
      </c>
      <c r="N44" s="6">
        <f t="shared" si="2"/>
        <v>7.4</v>
      </c>
    </row>
    <row r="45">
      <c r="A45" s="1" t="s">
        <v>122</v>
      </c>
      <c r="B45" s="1" t="s">
        <v>24</v>
      </c>
      <c r="C45" s="3">
        <v>6.3</v>
      </c>
      <c r="D45" s="4" t="s">
        <v>20</v>
      </c>
      <c r="E45" s="1" t="s">
        <v>123</v>
      </c>
      <c r="F45" s="1">
        <v>7.5</v>
      </c>
      <c r="G45" s="1">
        <v>7.5</v>
      </c>
      <c r="H45" s="1">
        <v>7.2</v>
      </c>
      <c r="I45" s="1">
        <v>8.3</v>
      </c>
      <c r="J45" s="1">
        <v>7.9</v>
      </c>
      <c r="K45" s="1">
        <f t="shared" si="1"/>
        <v>7.68</v>
      </c>
      <c r="L45" s="7" t="s">
        <v>124</v>
      </c>
      <c r="N45" s="6">
        <f t="shared" si="2"/>
        <v>7.8</v>
      </c>
    </row>
    <row r="46">
      <c r="A46" s="1" t="s">
        <v>125</v>
      </c>
      <c r="B46" s="3" t="s">
        <v>40</v>
      </c>
      <c r="C46" s="3">
        <v>5.8</v>
      </c>
      <c r="D46" s="4">
        <v>44822.0</v>
      </c>
      <c r="E46" s="1" t="s">
        <v>54</v>
      </c>
      <c r="F46" s="1">
        <v>7.9</v>
      </c>
      <c r="G46" s="1">
        <v>6.8</v>
      </c>
      <c r="H46" s="1">
        <v>7.4</v>
      </c>
      <c r="I46" s="1">
        <v>7.8</v>
      </c>
      <c r="J46" s="1">
        <v>8.4</v>
      </c>
      <c r="K46" s="1">
        <f t="shared" si="1"/>
        <v>7.66</v>
      </c>
      <c r="L46" s="5"/>
      <c r="N46" s="6">
        <f t="shared" si="2"/>
        <v>7.725</v>
      </c>
    </row>
    <row r="47">
      <c r="A47" s="1" t="s">
        <v>126</v>
      </c>
      <c r="B47" s="1" t="s">
        <v>40</v>
      </c>
      <c r="C47" s="8">
        <v>5.7</v>
      </c>
      <c r="D47" s="4">
        <v>44864.0</v>
      </c>
      <c r="E47" s="1" t="s">
        <v>127</v>
      </c>
      <c r="F47" s="1">
        <v>7.6</v>
      </c>
      <c r="G47" s="1">
        <v>7.6</v>
      </c>
      <c r="H47" s="1">
        <v>7.4</v>
      </c>
      <c r="I47" s="1">
        <v>7.6</v>
      </c>
      <c r="J47" s="1">
        <v>8.1</v>
      </c>
      <c r="K47" s="1">
        <f t="shared" si="1"/>
        <v>7.66</v>
      </c>
      <c r="L47" s="5"/>
      <c r="N47" s="6">
        <f t="shared" si="2"/>
        <v>7.725</v>
      </c>
    </row>
    <row r="48">
      <c r="A48" s="1" t="s">
        <v>128</v>
      </c>
      <c r="B48" s="1" t="s">
        <v>40</v>
      </c>
      <c r="C48" s="3">
        <v>6.6</v>
      </c>
      <c r="D48" s="4">
        <v>45270.0</v>
      </c>
      <c r="E48" s="1" t="s">
        <v>129</v>
      </c>
      <c r="F48" s="1">
        <v>7.9</v>
      </c>
      <c r="G48" s="1">
        <v>7.7</v>
      </c>
      <c r="H48" s="1">
        <v>7.9</v>
      </c>
      <c r="I48" s="1">
        <v>7.8</v>
      </c>
      <c r="J48" s="1">
        <v>7.0</v>
      </c>
      <c r="K48" s="1">
        <f t="shared" si="1"/>
        <v>7.66</v>
      </c>
      <c r="L48" s="7" t="s">
        <v>130</v>
      </c>
      <c r="N48" s="6">
        <f t="shared" si="2"/>
        <v>7.6</v>
      </c>
    </row>
    <row r="49">
      <c r="A49" s="1" t="s">
        <v>131</v>
      </c>
      <c r="B49" s="1" t="s">
        <v>36</v>
      </c>
      <c r="C49" s="3">
        <v>6.9</v>
      </c>
      <c r="D49" s="4">
        <v>45644.0</v>
      </c>
      <c r="E49" s="1" t="s">
        <v>132</v>
      </c>
      <c r="F49" s="1">
        <v>7.6</v>
      </c>
      <c r="G49" s="1">
        <v>7.6</v>
      </c>
      <c r="H49" s="1">
        <v>7.3</v>
      </c>
      <c r="I49" s="1">
        <v>7.6</v>
      </c>
      <c r="J49" s="1">
        <v>8.2</v>
      </c>
      <c r="K49" s="1">
        <f t="shared" si="1"/>
        <v>7.66</v>
      </c>
      <c r="L49" s="7" t="s">
        <v>133</v>
      </c>
      <c r="M49" s="1" t="s">
        <v>48</v>
      </c>
      <c r="N49" s="6">
        <f t="shared" si="2"/>
        <v>7.75</v>
      </c>
    </row>
    <row r="50">
      <c r="A50" s="1" t="s">
        <v>134</v>
      </c>
      <c r="B50" s="1" t="s">
        <v>24</v>
      </c>
      <c r="C50" s="3">
        <v>5.8</v>
      </c>
      <c r="D50" s="4" t="s">
        <v>20</v>
      </c>
      <c r="E50" s="1" t="s">
        <v>123</v>
      </c>
      <c r="F50" s="1">
        <v>7.7</v>
      </c>
      <c r="G50" s="1">
        <v>7.8</v>
      </c>
      <c r="H50" s="1">
        <v>7.9</v>
      </c>
      <c r="I50" s="1">
        <v>8.1</v>
      </c>
      <c r="J50" s="1">
        <v>6.8</v>
      </c>
      <c r="K50" s="1">
        <f t="shared" si="1"/>
        <v>7.66</v>
      </c>
      <c r="L50" s="7" t="s">
        <v>135</v>
      </c>
      <c r="N50" s="6">
        <f t="shared" si="2"/>
        <v>7.6</v>
      </c>
    </row>
    <row r="51">
      <c r="A51" s="1" t="s">
        <v>136</v>
      </c>
      <c r="B51" s="1" t="s">
        <v>15</v>
      </c>
      <c r="C51" s="3">
        <v>6.6</v>
      </c>
      <c r="D51" s="4">
        <v>45267.0</v>
      </c>
      <c r="E51" s="1" t="s">
        <v>137</v>
      </c>
      <c r="F51" s="1">
        <v>7.8</v>
      </c>
      <c r="G51" s="1">
        <v>7.7</v>
      </c>
      <c r="H51" s="1">
        <v>7.2</v>
      </c>
      <c r="I51" s="1">
        <v>7.9</v>
      </c>
      <c r="J51" s="1">
        <v>7.6</v>
      </c>
      <c r="K51" s="1">
        <f t="shared" si="1"/>
        <v>7.64</v>
      </c>
      <c r="L51" s="7" t="s">
        <v>138</v>
      </c>
      <c r="N51" s="6">
        <f t="shared" si="2"/>
        <v>7.75</v>
      </c>
    </row>
    <row r="52">
      <c r="A52" s="1" t="s">
        <v>139</v>
      </c>
      <c r="B52" s="3" t="s">
        <v>40</v>
      </c>
      <c r="C52" s="3">
        <v>5.6</v>
      </c>
      <c r="D52" s="4">
        <v>44894.0</v>
      </c>
      <c r="E52" s="1" t="s">
        <v>43</v>
      </c>
      <c r="F52" s="1">
        <v>7.5</v>
      </c>
      <c r="G52" s="1">
        <v>7.7</v>
      </c>
      <c r="H52" s="1">
        <v>7.6</v>
      </c>
      <c r="I52" s="1">
        <v>7.7</v>
      </c>
      <c r="J52" s="1">
        <v>7.7</v>
      </c>
      <c r="K52" s="1">
        <f t="shared" si="1"/>
        <v>7.64</v>
      </c>
      <c r="L52" s="7" t="s">
        <v>140</v>
      </c>
      <c r="N52" s="6">
        <f t="shared" si="2"/>
        <v>7.65</v>
      </c>
    </row>
    <row r="53">
      <c r="A53" s="1" t="s">
        <v>141</v>
      </c>
      <c r="B53" s="1" t="s">
        <v>15</v>
      </c>
      <c r="C53" s="3">
        <v>6.4</v>
      </c>
      <c r="D53" s="4">
        <v>45127.0</v>
      </c>
      <c r="E53" s="1" t="s">
        <v>142</v>
      </c>
      <c r="F53" s="1">
        <v>8.0</v>
      </c>
      <c r="G53" s="1">
        <v>7.6</v>
      </c>
      <c r="H53" s="1">
        <v>7.1</v>
      </c>
      <c r="I53" s="1">
        <v>8.1</v>
      </c>
      <c r="J53" s="1">
        <v>7.4</v>
      </c>
      <c r="K53" s="1">
        <f t="shared" si="1"/>
        <v>7.64</v>
      </c>
      <c r="L53" s="7" t="s">
        <v>143</v>
      </c>
      <c r="N53" s="6">
        <f t="shared" si="2"/>
        <v>7.775</v>
      </c>
    </row>
    <row r="54">
      <c r="A54" s="1" t="s">
        <v>144</v>
      </c>
      <c r="B54" s="3" t="s">
        <v>40</v>
      </c>
      <c r="C54" s="3">
        <v>5.7</v>
      </c>
      <c r="D54" s="4">
        <v>44822.0</v>
      </c>
      <c r="E54" s="1" t="s">
        <v>54</v>
      </c>
      <c r="F54" s="1">
        <v>8.0</v>
      </c>
      <c r="G54" s="1">
        <v>7.3</v>
      </c>
      <c r="H54" s="1">
        <v>7.6</v>
      </c>
      <c r="I54" s="1">
        <v>8.0</v>
      </c>
      <c r="J54" s="1">
        <v>7.2</v>
      </c>
      <c r="K54" s="1">
        <f t="shared" si="1"/>
        <v>7.62</v>
      </c>
      <c r="L54" s="5"/>
      <c r="N54" s="6">
        <f t="shared" si="2"/>
        <v>7.625</v>
      </c>
    </row>
    <row r="55">
      <c r="A55" s="1" t="s">
        <v>145</v>
      </c>
      <c r="B55" s="3" t="s">
        <v>40</v>
      </c>
      <c r="C55" s="3">
        <v>5.2</v>
      </c>
      <c r="D55" s="4">
        <v>44894.0</v>
      </c>
      <c r="E55" s="1" t="s">
        <v>43</v>
      </c>
      <c r="F55" s="1">
        <v>8.0</v>
      </c>
      <c r="G55" s="1">
        <v>7.8</v>
      </c>
      <c r="H55" s="1">
        <v>7.4</v>
      </c>
      <c r="I55" s="1">
        <v>7.1</v>
      </c>
      <c r="J55" s="1">
        <v>7.8</v>
      </c>
      <c r="K55" s="1">
        <f t="shared" si="1"/>
        <v>7.62</v>
      </c>
      <c r="L55" s="7" t="s">
        <v>146</v>
      </c>
      <c r="N55" s="6">
        <f t="shared" si="2"/>
        <v>7.675</v>
      </c>
    </row>
    <row r="56">
      <c r="A56" s="1" t="s">
        <v>147</v>
      </c>
      <c r="B56" s="3" t="s">
        <v>40</v>
      </c>
      <c r="C56" s="3">
        <v>5.2</v>
      </c>
      <c r="D56" s="4">
        <v>44737.0</v>
      </c>
      <c r="E56" s="1" t="s">
        <v>148</v>
      </c>
      <c r="F56" s="1">
        <v>8.4</v>
      </c>
      <c r="G56" s="1">
        <v>7.5</v>
      </c>
      <c r="H56" s="1">
        <v>7.4</v>
      </c>
      <c r="I56" s="1">
        <v>8.0</v>
      </c>
      <c r="J56" s="1">
        <v>6.7</v>
      </c>
      <c r="K56" s="1">
        <f t="shared" si="1"/>
        <v>7.6</v>
      </c>
      <c r="L56" s="7" t="s">
        <v>149</v>
      </c>
      <c r="N56" s="6">
        <f t="shared" si="2"/>
        <v>7.65</v>
      </c>
    </row>
    <row r="57">
      <c r="A57" s="1" t="s">
        <v>150</v>
      </c>
      <c r="B57" s="1" t="s">
        <v>15</v>
      </c>
      <c r="C57" s="3">
        <v>4.7</v>
      </c>
      <c r="D57" s="4">
        <v>44742.0</v>
      </c>
      <c r="E57" s="1" t="s">
        <v>18</v>
      </c>
      <c r="F57" s="1">
        <v>8.0</v>
      </c>
      <c r="G57" s="1">
        <v>7.7</v>
      </c>
      <c r="H57" s="1">
        <v>7.1</v>
      </c>
      <c r="I57" s="1">
        <v>7.8</v>
      </c>
      <c r="J57" s="1">
        <v>7.4</v>
      </c>
      <c r="K57" s="1">
        <f t="shared" si="1"/>
        <v>7.6</v>
      </c>
      <c r="L57" s="5"/>
      <c r="N57" s="6">
        <f t="shared" si="2"/>
        <v>7.725</v>
      </c>
    </row>
    <row r="58">
      <c r="A58" s="1" t="s">
        <v>151</v>
      </c>
      <c r="B58" s="1" t="s">
        <v>40</v>
      </c>
      <c r="C58" s="3">
        <v>6.8</v>
      </c>
      <c r="D58" s="4">
        <v>45270.0</v>
      </c>
      <c r="E58" s="1" t="s">
        <v>152</v>
      </c>
      <c r="F58" s="1">
        <v>7.5</v>
      </c>
      <c r="G58" s="1">
        <v>7.5</v>
      </c>
      <c r="H58" s="1">
        <v>7.4</v>
      </c>
      <c r="I58" s="1">
        <v>7.9</v>
      </c>
      <c r="J58" s="1">
        <v>7.6</v>
      </c>
      <c r="K58" s="1">
        <f t="shared" si="1"/>
        <v>7.58</v>
      </c>
      <c r="L58" s="7" t="s">
        <v>153</v>
      </c>
      <c r="N58" s="6">
        <f t="shared" si="2"/>
        <v>7.625</v>
      </c>
    </row>
    <row r="59">
      <c r="A59" s="1" t="s">
        <v>154</v>
      </c>
      <c r="B59" s="1" t="s">
        <v>15</v>
      </c>
      <c r="C59" s="3">
        <v>5.7</v>
      </c>
      <c r="D59" s="4">
        <v>44859.0</v>
      </c>
      <c r="E59" s="1" t="s">
        <v>70</v>
      </c>
      <c r="F59" s="1">
        <v>7.7</v>
      </c>
      <c r="G59" s="1">
        <v>6.9</v>
      </c>
      <c r="H59" s="1">
        <v>8.7</v>
      </c>
      <c r="I59" s="1">
        <v>7.7</v>
      </c>
      <c r="J59" s="1">
        <v>6.8</v>
      </c>
      <c r="K59" s="1">
        <f t="shared" si="1"/>
        <v>7.56</v>
      </c>
      <c r="L59" s="5"/>
      <c r="N59" s="6">
        <f t="shared" si="2"/>
        <v>7.275</v>
      </c>
    </row>
    <row r="60">
      <c r="A60" s="1" t="s">
        <v>155</v>
      </c>
      <c r="B60" s="1" t="s">
        <v>15</v>
      </c>
      <c r="C60" s="3">
        <v>5.9</v>
      </c>
      <c r="D60" s="4">
        <v>45267.0</v>
      </c>
      <c r="E60" s="1" t="s">
        <v>137</v>
      </c>
      <c r="F60" s="1">
        <v>7.4</v>
      </c>
      <c r="G60" s="1">
        <v>7.0</v>
      </c>
      <c r="H60" s="1">
        <v>7.0</v>
      </c>
      <c r="I60" s="1">
        <v>7.7</v>
      </c>
      <c r="J60" s="1">
        <v>8.7</v>
      </c>
      <c r="K60" s="1">
        <f t="shared" si="1"/>
        <v>7.56</v>
      </c>
      <c r="L60" s="7" t="s">
        <v>156</v>
      </c>
      <c r="N60" s="6">
        <f t="shared" si="2"/>
        <v>7.7</v>
      </c>
    </row>
    <row r="61">
      <c r="A61" s="1" t="s">
        <v>157</v>
      </c>
      <c r="B61" s="1" t="s">
        <v>36</v>
      </c>
      <c r="C61" s="3" t="s">
        <v>20</v>
      </c>
      <c r="D61" s="4">
        <v>45835.0</v>
      </c>
      <c r="E61" s="1" t="s">
        <v>158</v>
      </c>
      <c r="F61" s="1">
        <v>7.5</v>
      </c>
      <c r="G61" s="1">
        <v>7.2</v>
      </c>
      <c r="H61" s="1">
        <v>7.2</v>
      </c>
      <c r="I61" s="1">
        <v>8.2</v>
      </c>
      <c r="J61" s="1">
        <v>7.7</v>
      </c>
      <c r="K61" s="1">
        <f t="shared" si="1"/>
        <v>7.56</v>
      </c>
      <c r="L61" s="7" t="s">
        <v>159</v>
      </c>
      <c r="N61" s="6">
        <f t="shared" si="2"/>
        <v>7.65</v>
      </c>
    </row>
    <row r="62">
      <c r="A62" s="1" t="s">
        <v>160</v>
      </c>
      <c r="B62" s="1" t="s">
        <v>15</v>
      </c>
      <c r="C62" s="12">
        <v>5.0</v>
      </c>
      <c r="D62" s="4">
        <v>44878.0</v>
      </c>
      <c r="E62" s="1" t="s">
        <v>80</v>
      </c>
      <c r="F62" s="1">
        <v>7.5</v>
      </c>
      <c r="G62" s="1">
        <v>7.2</v>
      </c>
      <c r="H62" s="1">
        <v>7.3</v>
      </c>
      <c r="I62" s="1">
        <v>8.3</v>
      </c>
      <c r="J62" s="1">
        <v>7.4</v>
      </c>
      <c r="K62" s="1">
        <f t="shared" si="1"/>
        <v>7.54</v>
      </c>
      <c r="L62" s="5"/>
      <c r="N62" s="6">
        <f t="shared" si="2"/>
        <v>7.6</v>
      </c>
    </row>
    <row r="63">
      <c r="A63" s="1" t="s">
        <v>161</v>
      </c>
      <c r="B63" s="1" t="s">
        <v>40</v>
      </c>
      <c r="C63" s="3">
        <v>5.4</v>
      </c>
      <c r="D63" s="4">
        <v>44918.0</v>
      </c>
      <c r="E63" s="1" t="s">
        <v>162</v>
      </c>
      <c r="F63" s="1">
        <v>7.5</v>
      </c>
      <c r="G63" s="1">
        <v>7.1</v>
      </c>
      <c r="H63" s="1">
        <v>7.4</v>
      </c>
      <c r="I63" s="1">
        <v>7.9</v>
      </c>
      <c r="J63" s="1">
        <v>7.8</v>
      </c>
      <c r="K63" s="1">
        <f t="shared" si="1"/>
        <v>7.54</v>
      </c>
      <c r="L63" s="7" t="s">
        <v>163</v>
      </c>
      <c r="N63" s="6">
        <f t="shared" si="2"/>
        <v>7.575</v>
      </c>
    </row>
    <row r="64">
      <c r="A64" s="1" t="s">
        <v>164</v>
      </c>
      <c r="B64" s="1" t="s">
        <v>15</v>
      </c>
      <c r="C64" s="3">
        <v>6.7</v>
      </c>
      <c r="D64" s="4">
        <v>45267.0</v>
      </c>
      <c r="E64" s="1" t="s">
        <v>137</v>
      </c>
      <c r="F64" s="1">
        <v>8.0</v>
      </c>
      <c r="G64" s="1">
        <v>7.7</v>
      </c>
      <c r="H64" s="1">
        <v>7.2</v>
      </c>
      <c r="I64" s="1">
        <v>7.4</v>
      </c>
      <c r="J64" s="1">
        <v>7.4</v>
      </c>
      <c r="K64" s="1">
        <f t="shared" si="1"/>
        <v>7.54</v>
      </c>
      <c r="L64" s="7" t="s">
        <v>165</v>
      </c>
      <c r="N64" s="6">
        <f t="shared" si="2"/>
        <v>7.625</v>
      </c>
    </row>
    <row r="65">
      <c r="A65" s="1" t="s">
        <v>166</v>
      </c>
      <c r="B65" s="1" t="s">
        <v>15</v>
      </c>
      <c r="C65" s="3">
        <v>6.7</v>
      </c>
      <c r="D65" s="4">
        <v>45634.0</v>
      </c>
      <c r="E65" s="1" t="s">
        <v>167</v>
      </c>
      <c r="F65" s="1">
        <v>7.8</v>
      </c>
      <c r="G65" s="1">
        <v>7.8</v>
      </c>
      <c r="H65" s="1">
        <v>6.1</v>
      </c>
      <c r="I65" s="1">
        <v>8.0</v>
      </c>
      <c r="J65" s="1">
        <v>7.9</v>
      </c>
      <c r="K65" s="1">
        <f t="shared" si="1"/>
        <v>7.52</v>
      </c>
      <c r="L65" s="7" t="s">
        <v>168</v>
      </c>
      <c r="M65" s="1" t="s">
        <v>48</v>
      </c>
      <c r="N65" s="6">
        <f t="shared" si="2"/>
        <v>7.875</v>
      </c>
    </row>
    <row r="66">
      <c r="A66" s="1" t="s">
        <v>169</v>
      </c>
      <c r="B66" s="1" t="s">
        <v>15</v>
      </c>
      <c r="C66" s="3">
        <v>6.6</v>
      </c>
      <c r="D66" s="4">
        <v>45267.0</v>
      </c>
      <c r="E66" s="1" t="s">
        <v>137</v>
      </c>
      <c r="F66" s="1">
        <v>7.1</v>
      </c>
      <c r="G66" s="1">
        <v>7.6</v>
      </c>
      <c r="H66" s="1">
        <v>7.6</v>
      </c>
      <c r="I66" s="1">
        <v>7.5</v>
      </c>
      <c r="J66" s="1">
        <v>7.8</v>
      </c>
      <c r="K66" s="1">
        <f t="shared" si="1"/>
        <v>7.52</v>
      </c>
      <c r="L66" s="7"/>
      <c r="N66" s="6">
        <f t="shared" si="2"/>
        <v>7.5</v>
      </c>
    </row>
    <row r="67">
      <c r="A67" s="1" t="s">
        <v>170</v>
      </c>
      <c r="B67" s="3" t="s">
        <v>24</v>
      </c>
      <c r="C67" s="3">
        <v>5.8</v>
      </c>
      <c r="D67" s="4">
        <v>45569.0</v>
      </c>
      <c r="E67" s="1" t="s">
        <v>171</v>
      </c>
      <c r="F67" s="1">
        <v>7.8</v>
      </c>
      <c r="G67" s="1">
        <v>7.2</v>
      </c>
      <c r="H67" s="1">
        <v>6.9</v>
      </c>
      <c r="I67" s="1">
        <v>7.9</v>
      </c>
      <c r="J67" s="1">
        <v>7.7</v>
      </c>
      <c r="K67" s="1">
        <f t="shared" si="1"/>
        <v>7.5</v>
      </c>
      <c r="L67" s="7" t="s">
        <v>172</v>
      </c>
      <c r="N67" s="6">
        <f t="shared" si="2"/>
        <v>7.65</v>
      </c>
    </row>
    <row r="68">
      <c r="A68" s="1" t="s">
        <v>173</v>
      </c>
      <c r="B68" s="1" t="s">
        <v>15</v>
      </c>
      <c r="C68" s="3">
        <v>6.2</v>
      </c>
      <c r="D68" s="4">
        <v>45618.0</v>
      </c>
      <c r="E68" s="1" t="s">
        <v>174</v>
      </c>
      <c r="F68" s="1">
        <v>7.6</v>
      </c>
      <c r="G68" s="1">
        <v>7.4</v>
      </c>
      <c r="H68" s="1">
        <v>6.6</v>
      </c>
      <c r="I68" s="1">
        <v>7.8</v>
      </c>
      <c r="J68" s="1">
        <v>8.1</v>
      </c>
      <c r="K68" s="1">
        <f t="shared" si="1"/>
        <v>7.5</v>
      </c>
      <c r="L68" s="7" t="s">
        <v>175</v>
      </c>
      <c r="M68" s="1" t="s">
        <v>176</v>
      </c>
      <c r="N68" s="6">
        <f t="shared" si="2"/>
        <v>7.725</v>
      </c>
    </row>
    <row r="69">
      <c r="A69" s="1" t="s">
        <v>177</v>
      </c>
      <c r="B69" s="1" t="s">
        <v>15</v>
      </c>
      <c r="C69" s="3">
        <v>5.0</v>
      </c>
      <c r="D69" s="4">
        <v>45618.0</v>
      </c>
      <c r="E69" s="1" t="s">
        <v>100</v>
      </c>
      <c r="F69" s="1">
        <v>7.7</v>
      </c>
      <c r="G69" s="1">
        <v>7.1</v>
      </c>
      <c r="H69" s="1">
        <v>7.5</v>
      </c>
      <c r="I69" s="1">
        <v>7.7</v>
      </c>
      <c r="J69" s="1">
        <v>7.5</v>
      </c>
      <c r="K69" s="1">
        <f t="shared" si="1"/>
        <v>7.5</v>
      </c>
      <c r="L69" s="7" t="s">
        <v>178</v>
      </c>
      <c r="M69" s="1" t="s">
        <v>179</v>
      </c>
      <c r="N69" s="6">
        <f t="shared" si="2"/>
        <v>7.5</v>
      </c>
    </row>
    <row r="70">
      <c r="A70" s="1" t="s">
        <v>180</v>
      </c>
      <c r="B70" s="1" t="s">
        <v>40</v>
      </c>
      <c r="C70" s="8">
        <v>5.5</v>
      </c>
      <c r="D70" s="4">
        <v>44864.0</v>
      </c>
      <c r="E70" s="1" t="s">
        <v>181</v>
      </c>
      <c r="F70" s="1">
        <v>7.9</v>
      </c>
      <c r="G70" s="1">
        <v>7.7</v>
      </c>
      <c r="H70" s="1">
        <v>6.4</v>
      </c>
      <c r="I70" s="1">
        <v>7.9</v>
      </c>
      <c r="J70" s="1">
        <v>7.4</v>
      </c>
      <c r="K70" s="1">
        <f t="shared" si="1"/>
        <v>7.46</v>
      </c>
      <c r="L70" s="5"/>
      <c r="N70" s="6">
        <f t="shared" si="2"/>
        <v>7.725</v>
      </c>
    </row>
    <row r="71">
      <c r="A71" s="1" t="s">
        <v>182</v>
      </c>
      <c r="B71" s="1" t="s">
        <v>15</v>
      </c>
      <c r="C71" s="3">
        <v>6.75</v>
      </c>
      <c r="D71" s="4">
        <v>45618.0</v>
      </c>
      <c r="E71" s="1" t="s">
        <v>183</v>
      </c>
      <c r="F71" s="1">
        <v>7.6</v>
      </c>
      <c r="G71" s="1">
        <v>7.3</v>
      </c>
      <c r="H71" s="1">
        <v>6.8</v>
      </c>
      <c r="I71" s="1">
        <v>8.2</v>
      </c>
      <c r="J71" s="1">
        <v>7.4</v>
      </c>
      <c r="K71" s="1">
        <f t="shared" si="1"/>
        <v>7.46</v>
      </c>
      <c r="L71" s="7" t="s">
        <v>184</v>
      </c>
      <c r="M71" s="1" t="s">
        <v>176</v>
      </c>
      <c r="N71" s="6">
        <f t="shared" si="2"/>
        <v>7.625</v>
      </c>
    </row>
    <row r="72">
      <c r="A72" s="1" t="s">
        <v>185</v>
      </c>
      <c r="B72" s="1" t="s">
        <v>40</v>
      </c>
      <c r="C72" s="3">
        <v>5.7</v>
      </c>
      <c r="D72" s="4">
        <v>45276.0</v>
      </c>
      <c r="E72" s="1" t="s">
        <v>186</v>
      </c>
      <c r="F72" s="13">
        <v>7.7</v>
      </c>
      <c r="G72" s="1">
        <v>7.6</v>
      </c>
      <c r="H72" s="1">
        <v>7.3</v>
      </c>
      <c r="I72" s="1">
        <v>8.0</v>
      </c>
      <c r="J72" s="1">
        <v>6.6</v>
      </c>
      <c r="K72" s="1">
        <f t="shared" si="1"/>
        <v>7.44</v>
      </c>
      <c r="L72" s="7" t="s">
        <v>187</v>
      </c>
      <c r="N72" s="6">
        <f t="shared" si="2"/>
        <v>7.475</v>
      </c>
    </row>
    <row r="73">
      <c r="A73" s="1" t="s">
        <v>188</v>
      </c>
      <c r="B73" s="3" t="s">
        <v>24</v>
      </c>
      <c r="C73" s="3">
        <v>6.7</v>
      </c>
      <c r="D73" s="9" t="s">
        <v>20</v>
      </c>
      <c r="E73" s="1" t="s">
        <v>75</v>
      </c>
      <c r="F73" s="1">
        <v>7.8</v>
      </c>
      <c r="G73" s="1">
        <v>7.4</v>
      </c>
      <c r="H73" s="1">
        <v>7.4</v>
      </c>
      <c r="I73" s="1">
        <v>7.6</v>
      </c>
      <c r="J73" s="1">
        <v>7.0</v>
      </c>
      <c r="K73" s="1">
        <f t="shared" si="1"/>
        <v>7.44</v>
      </c>
      <c r="L73" s="7" t="s">
        <v>189</v>
      </c>
      <c r="N73" s="6">
        <f t="shared" si="2"/>
        <v>7.45</v>
      </c>
    </row>
    <row r="74">
      <c r="A74" s="1" t="s">
        <v>190</v>
      </c>
      <c r="B74" s="3" t="s">
        <v>40</v>
      </c>
      <c r="C74" s="3">
        <v>5.8</v>
      </c>
      <c r="D74" s="4">
        <v>44751.0</v>
      </c>
      <c r="E74" s="1" t="s">
        <v>191</v>
      </c>
      <c r="F74" s="1">
        <v>7.1</v>
      </c>
      <c r="G74" s="1">
        <v>6.6</v>
      </c>
      <c r="H74" s="1">
        <v>8.1</v>
      </c>
      <c r="I74" s="1">
        <v>7.9</v>
      </c>
      <c r="J74" s="1">
        <v>7.5</v>
      </c>
      <c r="K74" s="1">
        <f t="shared" si="1"/>
        <v>7.44</v>
      </c>
      <c r="L74" s="5"/>
      <c r="N74" s="6">
        <f t="shared" si="2"/>
        <v>7.275</v>
      </c>
    </row>
    <row r="75">
      <c r="A75" s="1" t="s">
        <v>192</v>
      </c>
      <c r="B75" s="1" t="s">
        <v>15</v>
      </c>
      <c r="C75" s="3">
        <v>6.6</v>
      </c>
      <c r="D75" s="4">
        <v>45127.0</v>
      </c>
      <c r="E75" s="1" t="s">
        <v>193</v>
      </c>
      <c r="F75" s="1">
        <v>7.8</v>
      </c>
      <c r="G75" s="1">
        <v>7.3</v>
      </c>
      <c r="H75" s="1">
        <v>7.4</v>
      </c>
      <c r="I75" s="1">
        <v>7.4</v>
      </c>
      <c r="J75" s="1">
        <v>7.1</v>
      </c>
      <c r="K75" s="1">
        <f t="shared" si="1"/>
        <v>7.4</v>
      </c>
      <c r="L75" s="7" t="s">
        <v>194</v>
      </c>
      <c r="N75" s="6">
        <f t="shared" si="2"/>
        <v>7.4</v>
      </c>
    </row>
    <row r="76">
      <c r="A76" s="1" t="s">
        <v>195</v>
      </c>
      <c r="B76" s="1" t="s">
        <v>40</v>
      </c>
      <c r="C76" s="3">
        <v>6.4</v>
      </c>
      <c r="D76" s="4">
        <v>45676.0</v>
      </c>
      <c r="E76" s="1" t="s">
        <v>196</v>
      </c>
      <c r="F76" s="1">
        <v>7.2</v>
      </c>
      <c r="G76" s="1">
        <v>7.3</v>
      </c>
      <c r="H76" s="1">
        <v>6.9</v>
      </c>
      <c r="I76" s="1">
        <v>7.3</v>
      </c>
      <c r="J76" s="1">
        <v>8.3</v>
      </c>
      <c r="K76" s="1">
        <f t="shared" si="1"/>
        <v>7.4</v>
      </c>
      <c r="L76" s="7" t="s">
        <v>197</v>
      </c>
      <c r="M76" s="1" t="s">
        <v>48</v>
      </c>
      <c r="N76" s="6">
        <f t="shared" si="2"/>
        <v>7.525</v>
      </c>
    </row>
    <row r="77">
      <c r="A77" s="1" t="s">
        <v>198</v>
      </c>
      <c r="B77" s="1" t="s">
        <v>40</v>
      </c>
      <c r="C77" s="3">
        <v>5.9</v>
      </c>
      <c r="D77" s="4">
        <v>45857.0</v>
      </c>
      <c r="E77" s="1" t="s">
        <v>199</v>
      </c>
      <c r="F77" s="1">
        <v>7.8</v>
      </c>
      <c r="G77" s="1">
        <v>7.4</v>
      </c>
      <c r="H77" s="1">
        <v>6.3</v>
      </c>
      <c r="I77" s="1">
        <v>7.5</v>
      </c>
      <c r="J77" s="1">
        <v>7.8</v>
      </c>
      <c r="K77" s="1">
        <f t="shared" si="1"/>
        <v>7.36</v>
      </c>
      <c r="L77" s="7" t="s">
        <v>200</v>
      </c>
      <c r="M77" s="1" t="s">
        <v>48</v>
      </c>
      <c r="N77" s="6">
        <f t="shared" si="2"/>
        <v>7.625</v>
      </c>
    </row>
    <row r="78">
      <c r="A78" s="1" t="s">
        <v>201</v>
      </c>
      <c r="B78" s="1" t="s">
        <v>40</v>
      </c>
      <c r="C78" s="1" t="s">
        <v>20</v>
      </c>
      <c r="D78" s="4">
        <v>44918.0</v>
      </c>
      <c r="E78" s="1" t="s">
        <v>202</v>
      </c>
      <c r="F78" s="1">
        <v>7.5</v>
      </c>
      <c r="G78" s="1">
        <v>7.3</v>
      </c>
      <c r="H78" s="1">
        <v>8.0</v>
      </c>
      <c r="I78" s="1">
        <v>6.9</v>
      </c>
      <c r="J78" s="1">
        <v>6.9</v>
      </c>
      <c r="K78" s="1">
        <f t="shared" si="1"/>
        <v>7.32</v>
      </c>
      <c r="L78" s="7" t="s">
        <v>203</v>
      </c>
      <c r="N78" s="6">
        <f t="shared" si="2"/>
        <v>7.15</v>
      </c>
    </row>
    <row r="79">
      <c r="A79" s="1" t="s">
        <v>204</v>
      </c>
      <c r="B79" s="1" t="s">
        <v>40</v>
      </c>
      <c r="C79" s="3" t="s">
        <v>20</v>
      </c>
      <c r="D79" s="4">
        <v>45255.0</v>
      </c>
      <c r="E79" s="1" t="s">
        <v>205</v>
      </c>
      <c r="F79" s="1">
        <v>7.9</v>
      </c>
      <c r="G79" s="1">
        <v>7.6</v>
      </c>
      <c r="H79" s="1">
        <v>7.7</v>
      </c>
      <c r="I79" s="1">
        <v>6.7</v>
      </c>
      <c r="J79" s="1">
        <v>6.7</v>
      </c>
      <c r="K79" s="1">
        <f t="shared" si="1"/>
        <v>7.32</v>
      </c>
      <c r="L79" s="7" t="s">
        <v>206</v>
      </c>
      <c r="N79" s="6">
        <f t="shared" si="2"/>
        <v>7.225</v>
      </c>
    </row>
    <row r="80">
      <c r="A80" s="1" t="s">
        <v>207</v>
      </c>
      <c r="B80" s="1" t="s">
        <v>40</v>
      </c>
      <c r="C80" s="3">
        <v>6.1</v>
      </c>
      <c r="D80" s="4">
        <v>45270.0</v>
      </c>
      <c r="E80" s="1" t="s">
        <v>82</v>
      </c>
      <c r="F80" s="1">
        <v>7.6</v>
      </c>
      <c r="G80" s="1">
        <v>7.4</v>
      </c>
      <c r="H80" s="1">
        <v>6.6</v>
      </c>
      <c r="I80" s="1">
        <v>7.7</v>
      </c>
      <c r="J80" s="1">
        <v>7.3</v>
      </c>
      <c r="K80" s="1">
        <f t="shared" si="1"/>
        <v>7.32</v>
      </c>
      <c r="L80" s="7" t="s">
        <v>208</v>
      </c>
      <c r="N80" s="6">
        <f t="shared" si="2"/>
        <v>7.5</v>
      </c>
    </row>
    <row r="81">
      <c r="A81" s="1" t="s">
        <v>209</v>
      </c>
      <c r="B81" s="1" t="s">
        <v>40</v>
      </c>
      <c r="C81" s="3">
        <v>6.4</v>
      </c>
      <c r="D81" s="4">
        <v>45676.0</v>
      </c>
      <c r="E81" s="1" t="s">
        <v>196</v>
      </c>
      <c r="F81" s="1">
        <v>7.7</v>
      </c>
      <c r="G81" s="1">
        <v>7.5</v>
      </c>
      <c r="H81" s="1">
        <v>6.8</v>
      </c>
      <c r="I81" s="1">
        <v>7.6</v>
      </c>
      <c r="J81" s="1">
        <v>7.0</v>
      </c>
      <c r="K81" s="1">
        <f t="shared" si="1"/>
        <v>7.32</v>
      </c>
      <c r="L81" s="7" t="s">
        <v>210</v>
      </c>
      <c r="M81" s="1" t="s">
        <v>176</v>
      </c>
      <c r="N81" s="6">
        <f t="shared" si="2"/>
        <v>7.45</v>
      </c>
    </row>
    <row r="82">
      <c r="A82" s="1" t="s">
        <v>211</v>
      </c>
      <c r="B82" s="1" t="s">
        <v>40</v>
      </c>
      <c r="C82" s="3">
        <v>6.4</v>
      </c>
      <c r="D82" s="4">
        <v>45857.0</v>
      </c>
      <c r="E82" s="1" t="s">
        <v>199</v>
      </c>
      <c r="F82" s="1">
        <v>7.5</v>
      </c>
      <c r="G82" s="1">
        <v>6.8</v>
      </c>
      <c r="H82" s="1">
        <v>6.7</v>
      </c>
      <c r="I82" s="1">
        <v>7.6</v>
      </c>
      <c r="J82" s="1">
        <v>8.0</v>
      </c>
      <c r="K82" s="1">
        <f t="shared" si="1"/>
        <v>7.32</v>
      </c>
      <c r="L82" s="7" t="s">
        <v>212</v>
      </c>
      <c r="M82" s="1" t="s">
        <v>176</v>
      </c>
      <c r="N82" s="6">
        <f t="shared" si="2"/>
        <v>7.475</v>
      </c>
    </row>
    <row r="83">
      <c r="A83" s="1" t="s">
        <v>213</v>
      </c>
      <c r="B83" s="1" t="s">
        <v>15</v>
      </c>
      <c r="C83" s="3">
        <v>6.5</v>
      </c>
      <c r="D83" s="4" t="s">
        <v>20</v>
      </c>
      <c r="E83" s="1" t="s">
        <v>214</v>
      </c>
      <c r="F83" s="1">
        <v>7.1</v>
      </c>
      <c r="G83" s="1">
        <v>7.8</v>
      </c>
      <c r="H83" s="1">
        <v>6.6</v>
      </c>
      <c r="I83" s="1">
        <v>7.8</v>
      </c>
      <c r="J83" s="1">
        <v>7.3</v>
      </c>
      <c r="K83" s="1">
        <f t="shared" si="1"/>
        <v>7.32</v>
      </c>
      <c r="L83" s="7" t="s">
        <v>215</v>
      </c>
      <c r="N83" s="6">
        <f t="shared" si="2"/>
        <v>7.5</v>
      </c>
    </row>
    <row r="84">
      <c r="A84" s="1" t="s">
        <v>216</v>
      </c>
      <c r="B84" s="1" t="s">
        <v>15</v>
      </c>
      <c r="C84" s="1" t="s">
        <v>20</v>
      </c>
      <c r="D84" s="4" t="s">
        <v>20</v>
      </c>
      <c r="E84" s="1" t="s">
        <v>217</v>
      </c>
      <c r="F84" s="1">
        <v>7.7</v>
      </c>
      <c r="G84" s="1">
        <v>7.5</v>
      </c>
      <c r="H84" s="1">
        <v>6.5</v>
      </c>
      <c r="I84" s="1">
        <v>7.6</v>
      </c>
      <c r="J84" s="1">
        <v>7.3</v>
      </c>
      <c r="K84" s="1">
        <f t="shared" si="1"/>
        <v>7.32</v>
      </c>
      <c r="L84" s="7" t="s">
        <v>218</v>
      </c>
      <c r="N84" s="6">
        <f t="shared" si="2"/>
        <v>7.525</v>
      </c>
    </row>
    <row r="85">
      <c r="A85" s="1" t="s">
        <v>219</v>
      </c>
      <c r="B85" s="3" t="s">
        <v>24</v>
      </c>
      <c r="C85" s="3">
        <v>6.0</v>
      </c>
      <c r="D85" s="4">
        <v>44889.0</v>
      </c>
      <c r="E85" s="1" t="s">
        <v>78</v>
      </c>
      <c r="F85" s="1">
        <v>7.3</v>
      </c>
      <c r="G85" s="1">
        <v>7.1</v>
      </c>
      <c r="H85" s="1">
        <v>7.0</v>
      </c>
      <c r="I85" s="1">
        <v>7.7</v>
      </c>
      <c r="J85" s="1">
        <v>7.4</v>
      </c>
      <c r="K85" s="1">
        <f t="shared" si="1"/>
        <v>7.3</v>
      </c>
      <c r="L85" s="5"/>
      <c r="N85" s="6">
        <f t="shared" si="2"/>
        <v>7.375</v>
      </c>
    </row>
    <row r="86">
      <c r="A86" s="1" t="s">
        <v>220</v>
      </c>
      <c r="B86" s="1" t="s">
        <v>40</v>
      </c>
      <c r="C86" s="3">
        <v>6.0</v>
      </c>
      <c r="D86" s="4">
        <v>45255.0</v>
      </c>
      <c r="E86" s="1" t="s">
        <v>205</v>
      </c>
      <c r="F86" s="1">
        <v>7.3</v>
      </c>
      <c r="G86" s="1">
        <v>7.1</v>
      </c>
      <c r="H86" s="1">
        <v>7.0</v>
      </c>
      <c r="I86" s="1">
        <v>7.6</v>
      </c>
      <c r="J86" s="1">
        <v>7.5</v>
      </c>
      <c r="K86" s="1">
        <f t="shared" si="1"/>
        <v>7.3</v>
      </c>
      <c r="L86" s="7" t="s">
        <v>221</v>
      </c>
      <c r="N86" s="6">
        <f t="shared" si="2"/>
        <v>7.375</v>
      </c>
    </row>
    <row r="87">
      <c r="A87" s="1" t="s">
        <v>222</v>
      </c>
      <c r="B87" s="1" t="s">
        <v>15</v>
      </c>
      <c r="C87" s="3">
        <v>6.15</v>
      </c>
      <c r="D87" s="4">
        <v>45633.0</v>
      </c>
      <c r="E87" s="1" t="s">
        <v>223</v>
      </c>
      <c r="F87" s="1">
        <v>7.5</v>
      </c>
      <c r="G87" s="1">
        <v>7.3</v>
      </c>
      <c r="H87" s="1">
        <v>6.1</v>
      </c>
      <c r="I87" s="1">
        <v>7.8</v>
      </c>
      <c r="J87" s="1">
        <v>7.8</v>
      </c>
      <c r="K87" s="1">
        <f t="shared" si="1"/>
        <v>7.3</v>
      </c>
      <c r="L87" s="7"/>
      <c r="M87" s="1" t="s">
        <v>48</v>
      </c>
      <c r="N87" s="6">
        <f t="shared" si="2"/>
        <v>7.6</v>
      </c>
    </row>
    <row r="88">
      <c r="A88" s="1" t="s">
        <v>224</v>
      </c>
      <c r="B88" s="1" t="s">
        <v>40</v>
      </c>
      <c r="C88" s="3">
        <v>5.3</v>
      </c>
      <c r="D88" s="4">
        <v>45977.0</v>
      </c>
      <c r="E88" s="1" t="s">
        <v>225</v>
      </c>
      <c r="F88" s="1">
        <v>7.3</v>
      </c>
      <c r="G88" s="1">
        <v>7.7</v>
      </c>
      <c r="H88" s="1">
        <v>7.2</v>
      </c>
      <c r="I88" s="1">
        <v>8.1</v>
      </c>
      <c r="J88" s="1">
        <v>6.2</v>
      </c>
      <c r="K88" s="1">
        <f t="shared" si="1"/>
        <v>7.3</v>
      </c>
      <c r="L88" s="7" t="s">
        <v>226</v>
      </c>
      <c r="M88" s="1" t="s">
        <v>48</v>
      </c>
    </row>
    <row r="89">
      <c r="A89" s="1" t="s">
        <v>227</v>
      </c>
      <c r="B89" s="1" t="s">
        <v>15</v>
      </c>
      <c r="C89" s="3">
        <v>6.6</v>
      </c>
      <c r="D89" s="4" t="s">
        <v>20</v>
      </c>
      <c r="E89" s="1" t="s">
        <v>228</v>
      </c>
      <c r="F89" s="1">
        <v>7.5</v>
      </c>
      <c r="G89" s="1">
        <v>7.3</v>
      </c>
      <c r="H89" s="1">
        <v>6.8</v>
      </c>
      <c r="I89" s="1">
        <v>7.0</v>
      </c>
      <c r="J89" s="1">
        <v>7.9</v>
      </c>
      <c r="K89" s="1">
        <f t="shared" si="1"/>
        <v>7.3</v>
      </c>
      <c r="L89" s="5"/>
      <c r="N89" s="6">
        <f t="shared" ref="N89:N124" si="3">AVERAGE(F89,G89,I89,J89)</f>
        <v>7.425</v>
      </c>
    </row>
    <row r="90">
      <c r="A90" s="1" t="s">
        <v>229</v>
      </c>
      <c r="B90" s="1" t="s">
        <v>36</v>
      </c>
      <c r="C90" s="3">
        <v>5.8</v>
      </c>
      <c r="D90" s="4" t="s">
        <v>20</v>
      </c>
      <c r="E90" s="1" t="s">
        <v>230</v>
      </c>
      <c r="F90" s="1">
        <v>7.7</v>
      </c>
      <c r="G90" s="1">
        <v>7.1</v>
      </c>
      <c r="H90" s="1">
        <v>7.2</v>
      </c>
      <c r="I90" s="1">
        <v>7.9</v>
      </c>
      <c r="J90" s="1">
        <v>6.6</v>
      </c>
      <c r="K90" s="1">
        <f t="shared" si="1"/>
        <v>7.3</v>
      </c>
      <c r="L90" s="7" t="s">
        <v>231</v>
      </c>
      <c r="N90" s="6">
        <f t="shared" si="3"/>
        <v>7.325</v>
      </c>
    </row>
    <row r="91">
      <c r="A91" s="1" t="s">
        <v>232</v>
      </c>
      <c r="B91" s="1" t="s">
        <v>40</v>
      </c>
      <c r="C91" s="3">
        <v>5.4</v>
      </c>
      <c r="D91" s="4">
        <v>44918.0</v>
      </c>
      <c r="E91" s="1" t="s">
        <v>233</v>
      </c>
      <c r="F91" s="1">
        <v>7.3</v>
      </c>
      <c r="G91" s="1">
        <v>7.0</v>
      </c>
      <c r="H91" s="1">
        <v>7.0</v>
      </c>
      <c r="I91" s="1">
        <v>7.5</v>
      </c>
      <c r="J91" s="1">
        <v>7.6</v>
      </c>
      <c r="K91" s="1">
        <f t="shared" si="1"/>
        <v>7.28</v>
      </c>
      <c r="L91" s="7" t="s">
        <v>234</v>
      </c>
      <c r="N91" s="6">
        <f t="shared" si="3"/>
        <v>7.35</v>
      </c>
    </row>
    <row r="92">
      <c r="A92" s="1" t="s">
        <v>235</v>
      </c>
      <c r="B92" s="1" t="s">
        <v>15</v>
      </c>
      <c r="C92" s="3">
        <v>7.0</v>
      </c>
      <c r="D92" s="4">
        <v>45682.0</v>
      </c>
      <c r="E92" s="1" t="s">
        <v>236</v>
      </c>
      <c r="F92" s="1">
        <v>7.3</v>
      </c>
      <c r="G92" s="1">
        <v>7.3</v>
      </c>
      <c r="H92" s="1">
        <v>7.1</v>
      </c>
      <c r="I92" s="1">
        <v>6.9</v>
      </c>
      <c r="J92" s="1">
        <v>7.8</v>
      </c>
      <c r="K92" s="1">
        <f t="shared" si="1"/>
        <v>7.28</v>
      </c>
      <c r="L92" s="7"/>
      <c r="M92" s="1" t="s">
        <v>48</v>
      </c>
      <c r="N92" s="6">
        <f t="shared" si="3"/>
        <v>7.325</v>
      </c>
    </row>
    <row r="93">
      <c r="A93" s="1" t="s">
        <v>237</v>
      </c>
      <c r="B93" s="1" t="s">
        <v>15</v>
      </c>
      <c r="C93" s="3">
        <v>6.3</v>
      </c>
      <c r="D93" s="4">
        <v>45064.0</v>
      </c>
      <c r="E93" s="1" t="s">
        <v>238</v>
      </c>
      <c r="F93" s="1">
        <v>6.9</v>
      </c>
      <c r="G93" s="1">
        <v>7.0</v>
      </c>
      <c r="H93" s="1">
        <v>6.7</v>
      </c>
      <c r="I93" s="1">
        <v>7.7</v>
      </c>
      <c r="J93" s="1">
        <v>8.0</v>
      </c>
      <c r="K93" s="1">
        <f t="shared" si="1"/>
        <v>7.26</v>
      </c>
      <c r="L93" s="7" t="s">
        <v>239</v>
      </c>
      <c r="N93" s="6">
        <f t="shared" si="3"/>
        <v>7.4</v>
      </c>
    </row>
    <row r="94">
      <c r="A94" s="1" t="s">
        <v>240</v>
      </c>
      <c r="B94" s="1" t="s">
        <v>15</v>
      </c>
      <c r="C94" s="3">
        <v>5.8</v>
      </c>
      <c r="D94" s="4">
        <v>44794.0</v>
      </c>
      <c r="E94" s="1" t="s">
        <v>16</v>
      </c>
      <c r="F94" s="1">
        <v>7.4</v>
      </c>
      <c r="G94" s="1">
        <v>7.5</v>
      </c>
      <c r="H94" s="1">
        <v>6.2</v>
      </c>
      <c r="I94" s="1">
        <v>7.2</v>
      </c>
      <c r="J94" s="1">
        <v>7.9</v>
      </c>
      <c r="K94" s="1">
        <f t="shared" si="1"/>
        <v>7.24</v>
      </c>
      <c r="L94" s="5"/>
      <c r="N94" s="6">
        <f t="shared" si="3"/>
        <v>7.5</v>
      </c>
    </row>
    <row r="95">
      <c r="A95" s="1" t="s">
        <v>241</v>
      </c>
      <c r="B95" s="1" t="s">
        <v>40</v>
      </c>
      <c r="C95" s="3">
        <v>6.4</v>
      </c>
      <c r="D95" s="4">
        <v>45787.0</v>
      </c>
      <c r="E95" s="1" t="s">
        <v>242</v>
      </c>
      <c r="F95" s="1">
        <v>7.5</v>
      </c>
      <c r="G95" s="1">
        <v>7.0</v>
      </c>
      <c r="H95" s="1">
        <v>6.5</v>
      </c>
      <c r="I95" s="1">
        <v>6.7</v>
      </c>
      <c r="J95" s="1">
        <v>8.5</v>
      </c>
      <c r="K95" s="1">
        <f t="shared" si="1"/>
        <v>7.24</v>
      </c>
      <c r="L95" s="7" t="s">
        <v>243</v>
      </c>
      <c r="M95" s="1" t="s">
        <v>176</v>
      </c>
      <c r="N95" s="6">
        <f t="shared" si="3"/>
        <v>7.425</v>
      </c>
    </row>
    <row r="96">
      <c r="A96" s="1" t="s">
        <v>244</v>
      </c>
      <c r="B96" s="3" t="s">
        <v>40</v>
      </c>
      <c r="C96" s="3">
        <v>5.4</v>
      </c>
      <c r="D96" s="4">
        <v>44739.0</v>
      </c>
      <c r="E96" s="1" t="s">
        <v>245</v>
      </c>
      <c r="F96" s="1">
        <v>7.7</v>
      </c>
      <c r="G96" s="1">
        <v>7.0</v>
      </c>
      <c r="H96" s="1">
        <v>6.6</v>
      </c>
      <c r="I96" s="1">
        <v>6.8</v>
      </c>
      <c r="J96" s="1">
        <v>8.1</v>
      </c>
      <c r="K96" s="1">
        <f t="shared" si="1"/>
        <v>7.24</v>
      </c>
      <c r="L96" s="7" t="s">
        <v>246</v>
      </c>
      <c r="N96" s="6">
        <f t="shared" si="3"/>
        <v>7.4</v>
      </c>
    </row>
    <row r="97">
      <c r="A97" s="1" t="s">
        <v>247</v>
      </c>
      <c r="B97" s="1" t="s">
        <v>40</v>
      </c>
      <c r="C97" s="3">
        <v>6.2</v>
      </c>
      <c r="D97" s="4">
        <v>45270.0</v>
      </c>
      <c r="E97" s="1" t="s">
        <v>82</v>
      </c>
      <c r="F97" s="1">
        <v>7.4</v>
      </c>
      <c r="G97" s="1">
        <v>7.2</v>
      </c>
      <c r="H97" s="1">
        <v>7.9</v>
      </c>
      <c r="I97" s="1">
        <v>8.0</v>
      </c>
      <c r="J97" s="1">
        <v>5.6</v>
      </c>
      <c r="K97" s="1">
        <f t="shared" si="1"/>
        <v>7.22</v>
      </c>
      <c r="L97" s="7" t="s">
        <v>248</v>
      </c>
      <c r="N97" s="6">
        <f t="shared" si="3"/>
        <v>7.05</v>
      </c>
    </row>
    <row r="98">
      <c r="A98" s="1" t="s">
        <v>249</v>
      </c>
      <c r="B98" s="1" t="s">
        <v>24</v>
      </c>
      <c r="C98" s="3">
        <v>6.0</v>
      </c>
      <c r="D98" s="9" t="s">
        <v>20</v>
      </c>
      <c r="E98" s="1" t="s">
        <v>75</v>
      </c>
      <c r="F98" s="1">
        <v>6.8</v>
      </c>
      <c r="G98" s="1">
        <v>6.9</v>
      </c>
      <c r="H98" s="1">
        <v>7.1</v>
      </c>
      <c r="I98" s="1">
        <v>7.5</v>
      </c>
      <c r="J98" s="1">
        <v>7.8</v>
      </c>
      <c r="K98" s="1">
        <f t="shared" si="1"/>
        <v>7.22</v>
      </c>
      <c r="L98" s="7" t="s">
        <v>250</v>
      </c>
      <c r="N98" s="6">
        <f t="shared" si="3"/>
        <v>7.25</v>
      </c>
    </row>
    <row r="99">
      <c r="A99" s="1" t="s">
        <v>251</v>
      </c>
      <c r="B99" s="1" t="s">
        <v>15</v>
      </c>
      <c r="C99" s="3">
        <v>5.9</v>
      </c>
      <c r="D99" s="4">
        <v>44770.0</v>
      </c>
      <c r="E99" s="1" t="s">
        <v>25</v>
      </c>
      <c r="F99" s="1">
        <v>6.8</v>
      </c>
      <c r="G99" s="1">
        <v>7.0</v>
      </c>
      <c r="H99" s="1">
        <v>6.5</v>
      </c>
      <c r="I99" s="1">
        <v>7.3</v>
      </c>
      <c r="J99" s="1">
        <v>8.4</v>
      </c>
      <c r="K99" s="1">
        <f t="shared" si="1"/>
        <v>7.2</v>
      </c>
      <c r="L99" s="5"/>
      <c r="N99" s="6">
        <f t="shared" si="3"/>
        <v>7.375</v>
      </c>
    </row>
    <row r="100">
      <c r="A100" s="1" t="s">
        <v>252</v>
      </c>
      <c r="B100" s="1" t="s">
        <v>24</v>
      </c>
      <c r="C100" s="3">
        <v>4.5</v>
      </c>
      <c r="D100" s="4" t="s">
        <v>20</v>
      </c>
      <c r="E100" s="1" t="s">
        <v>253</v>
      </c>
      <c r="F100" s="1">
        <v>7.6</v>
      </c>
      <c r="G100" s="1">
        <v>7.3</v>
      </c>
      <c r="H100" s="1">
        <v>5.3</v>
      </c>
      <c r="I100" s="1">
        <v>7.9</v>
      </c>
      <c r="J100" s="1">
        <v>7.9</v>
      </c>
      <c r="K100" s="1">
        <f t="shared" si="1"/>
        <v>7.2</v>
      </c>
      <c r="L100" s="7" t="s">
        <v>254</v>
      </c>
      <c r="N100" s="6">
        <f t="shared" si="3"/>
        <v>7.675</v>
      </c>
    </row>
    <row r="101">
      <c r="A101" s="1" t="s">
        <v>255</v>
      </c>
      <c r="B101" s="1" t="s">
        <v>15</v>
      </c>
      <c r="C101" s="3">
        <v>6.0</v>
      </c>
      <c r="D101" s="4" t="s">
        <v>20</v>
      </c>
      <c r="E101" s="1" t="s">
        <v>72</v>
      </c>
      <c r="F101" s="1">
        <v>7.7</v>
      </c>
      <c r="G101" s="1">
        <v>7.6</v>
      </c>
      <c r="H101" s="1">
        <v>6.2</v>
      </c>
      <c r="I101" s="1">
        <v>7.4</v>
      </c>
      <c r="J101" s="1">
        <v>7.1</v>
      </c>
      <c r="K101" s="1">
        <f t="shared" si="1"/>
        <v>7.2</v>
      </c>
      <c r="L101" s="7" t="s">
        <v>256</v>
      </c>
      <c r="N101" s="6">
        <f t="shared" si="3"/>
        <v>7.45</v>
      </c>
    </row>
    <row r="102">
      <c r="A102" s="1" t="s">
        <v>257</v>
      </c>
      <c r="B102" s="1" t="s">
        <v>15</v>
      </c>
      <c r="C102" s="3">
        <v>6.0</v>
      </c>
      <c r="D102" s="4">
        <v>44770.0</v>
      </c>
      <c r="E102" s="1" t="s">
        <v>25</v>
      </c>
      <c r="F102" s="1">
        <v>7.0</v>
      </c>
      <c r="G102" s="1">
        <v>7.0</v>
      </c>
      <c r="H102" s="1">
        <v>7.5</v>
      </c>
      <c r="I102" s="1">
        <v>6.6</v>
      </c>
      <c r="J102" s="1">
        <v>7.8</v>
      </c>
      <c r="K102" s="1">
        <f t="shared" si="1"/>
        <v>7.18</v>
      </c>
      <c r="L102" s="5"/>
      <c r="N102" s="6">
        <f t="shared" si="3"/>
        <v>7.1</v>
      </c>
    </row>
    <row r="103">
      <c r="A103" s="1" t="s">
        <v>258</v>
      </c>
      <c r="B103" s="1" t="s">
        <v>40</v>
      </c>
      <c r="C103" s="3">
        <v>6.1</v>
      </c>
      <c r="D103" s="4">
        <v>45487.0</v>
      </c>
      <c r="E103" s="1" t="s">
        <v>259</v>
      </c>
      <c r="F103" s="1">
        <v>7.3</v>
      </c>
      <c r="G103" s="1">
        <v>7.2</v>
      </c>
      <c r="H103" s="1">
        <v>6.7</v>
      </c>
      <c r="I103" s="1">
        <v>7.3</v>
      </c>
      <c r="J103" s="1">
        <v>7.4</v>
      </c>
      <c r="K103" s="1">
        <f t="shared" si="1"/>
        <v>7.18</v>
      </c>
      <c r="L103" s="5"/>
      <c r="N103" s="6">
        <f t="shared" si="3"/>
        <v>7.3</v>
      </c>
    </row>
    <row r="104">
      <c r="A104" s="1" t="s">
        <v>260</v>
      </c>
      <c r="B104" s="3" t="s">
        <v>24</v>
      </c>
      <c r="C104" s="3">
        <v>6.5</v>
      </c>
      <c r="D104" s="4">
        <v>45569.0</v>
      </c>
      <c r="E104" s="1" t="s">
        <v>261</v>
      </c>
      <c r="F104" s="1">
        <v>7.4</v>
      </c>
      <c r="G104" s="1">
        <v>7.4</v>
      </c>
      <c r="H104" s="1">
        <v>6.5</v>
      </c>
      <c r="I104" s="1">
        <v>7.5</v>
      </c>
      <c r="J104" s="1">
        <v>7.1</v>
      </c>
      <c r="K104" s="1">
        <f t="shared" si="1"/>
        <v>7.18</v>
      </c>
      <c r="L104" s="7"/>
      <c r="N104" s="6">
        <f t="shared" si="3"/>
        <v>7.35</v>
      </c>
    </row>
    <row r="105">
      <c r="A105" s="1" t="s">
        <v>262</v>
      </c>
      <c r="B105" s="1" t="s">
        <v>40</v>
      </c>
      <c r="C105" s="3">
        <v>6.6</v>
      </c>
      <c r="D105" s="4">
        <v>45689.0</v>
      </c>
      <c r="E105" s="1" t="s">
        <v>263</v>
      </c>
      <c r="F105" s="1">
        <v>7.3</v>
      </c>
      <c r="G105" s="1">
        <v>7.1</v>
      </c>
      <c r="H105" s="1">
        <v>6.9</v>
      </c>
      <c r="I105" s="1">
        <v>7.2</v>
      </c>
      <c r="J105" s="1">
        <v>7.4</v>
      </c>
      <c r="K105" s="1">
        <f t="shared" si="1"/>
        <v>7.18</v>
      </c>
      <c r="L105" s="7" t="s">
        <v>264</v>
      </c>
      <c r="M105" s="1" t="s">
        <v>176</v>
      </c>
      <c r="N105" s="6">
        <f t="shared" si="3"/>
        <v>7.25</v>
      </c>
    </row>
    <row r="106">
      <c r="A106" s="1" t="s">
        <v>265</v>
      </c>
      <c r="B106" s="1" t="s">
        <v>15</v>
      </c>
      <c r="C106" s="1" t="s">
        <v>20</v>
      </c>
      <c r="D106" s="4" t="s">
        <v>20</v>
      </c>
      <c r="E106" s="1" t="s">
        <v>214</v>
      </c>
      <c r="F106" s="1">
        <v>7.6</v>
      </c>
      <c r="G106" s="1">
        <v>7.5</v>
      </c>
      <c r="H106" s="1">
        <v>6.7</v>
      </c>
      <c r="I106" s="1">
        <v>7.2</v>
      </c>
      <c r="J106" s="1">
        <v>6.9</v>
      </c>
      <c r="K106" s="1">
        <f t="shared" si="1"/>
        <v>7.18</v>
      </c>
      <c r="L106" s="5"/>
      <c r="N106" s="6">
        <f t="shared" si="3"/>
        <v>7.3</v>
      </c>
    </row>
    <row r="107">
      <c r="A107" s="1" t="s">
        <v>266</v>
      </c>
      <c r="B107" s="1" t="s">
        <v>40</v>
      </c>
      <c r="C107" s="3">
        <v>6.2</v>
      </c>
      <c r="D107" s="4">
        <v>45299.0</v>
      </c>
      <c r="E107" s="1" t="s">
        <v>267</v>
      </c>
      <c r="F107" s="1">
        <v>7.7</v>
      </c>
      <c r="G107" s="1">
        <v>6.8</v>
      </c>
      <c r="H107" s="1">
        <v>5.8</v>
      </c>
      <c r="I107" s="1">
        <v>7.8</v>
      </c>
      <c r="J107" s="1">
        <v>7.7</v>
      </c>
      <c r="K107" s="1">
        <f t="shared" si="1"/>
        <v>7.16</v>
      </c>
      <c r="L107" s="7" t="s">
        <v>268</v>
      </c>
      <c r="N107" s="6">
        <f t="shared" si="3"/>
        <v>7.5</v>
      </c>
    </row>
    <row r="108">
      <c r="A108" s="1" t="s">
        <v>269</v>
      </c>
      <c r="B108" s="1" t="s">
        <v>40</v>
      </c>
      <c r="C108" s="8">
        <v>5.9</v>
      </c>
      <c r="D108" s="4">
        <v>44876.0</v>
      </c>
      <c r="E108" s="1" t="s">
        <v>270</v>
      </c>
      <c r="F108" s="1">
        <v>7.3</v>
      </c>
      <c r="G108" s="1">
        <v>7.8</v>
      </c>
      <c r="H108" s="1">
        <v>6.4</v>
      </c>
      <c r="I108" s="1">
        <v>7.7</v>
      </c>
      <c r="J108" s="1">
        <v>6.6</v>
      </c>
      <c r="K108" s="1">
        <f t="shared" si="1"/>
        <v>7.16</v>
      </c>
      <c r="L108" s="5"/>
      <c r="N108" s="6">
        <f t="shared" si="3"/>
        <v>7.35</v>
      </c>
    </row>
    <row r="109">
      <c r="A109" s="1" t="s">
        <v>271</v>
      </c>
      <c r="B109" s="1" t="s">
        <v>15</v>
      </c>
      <c r="C109" s="3">
        <v>6.5</v>
      </c>
      <c r="D109" s="4">
        <v>44887.0</v>
      </c>
      <c r="E109" s="1" t="s">
        <v>111</v>
      </c>
      <c r="F109" s="1">
        <v>6.0</v>
      </c>
      <c r="G109" s="1">
        <v>6.5</v>
      </c>
      <c r="H109" s="1">
        <v>8.2</v>
      </c>
      <c r="I109" s="1">
        <v>8.0</v>
      </c>
      <c r="J109" s="1">
        <v>7.1</v>
      </c>
      <c r="K109" s="1">
        <f t="shared" si="1"/>
        <v>7.16</v>
      </c>
      <c r="L109" s="5"/>
      <c r="N109" s="6">
        <f t="shared" si="3"/>
        <v>6.9</v>
      </c>
    </row>
    <row r="110">
      <c r="A110" s="1" t="s">
        <v>272</v>
      </c>
      <c r="B110" s="1" t="s">
        <v>15</v>
      </c>
      <c r="C110" s="3">
        <v>6.5</v>
      </c>
      <c r="D110" s="4">
        <v>45682.0</v>
      </c>
      <c r="E110" s="1" t="s">
        <v>273</v>
      </c>
      <c r="F110" s="1">
        <v>7.8</v>
      </c>
      <c r="G110" s="1">
        <v>7.4</v>
      </c>
      <c r="H110" s="1">
        <v>5.5</v>
      </c>
      <c r="I110" s="1">
        <v>7.0</v>
      </c>
      <c r="J110" s="1">
        <v>8.1</v>
      </c>
      <c r="K110" s="1">
        <f t="shared" si="1"/>
        <v>7.16</v>
      </c>
      <c r="L110" s="7" t="s">
        <v>274</v>
      </c>
      <c r="M110" s="1" t="s">
        <v>48</v>
      </c>
      <c r="N110" s="6">
        <f t="shared" si="3"/>
        <v>7.575</v>
      </c>
    </row>
    <row r="111">
      <c r="A111" s="1" t="s">
        <v>275</v>
      </c>
      <c r="B111" s="1" t="s">
        <v>24</v>
      </c>
      <c r="C111" s="3">
        <v>5.5</v>
      </c>
      <c r="D111" s="4" t="s">
        <v>20</v>
      </c>
      <c r="E111" s="1" t="s">
        <v>276</v>
      </c>
      <c r="F111" s="1">
        <v>7.2</v>
      </c>
      <c r="G111" s="1">
        <v>7.2</v>
      </c>
      <c r="H111" s="1">
        <v>6.6</v>
      </c>
      <c r="I111" s="1">
        <v>7.3</v>
      </c>
      <c r="J111" s="1">
        <v>7.4</v>
      </c>
      <c r="K111" s="1">
        <f t="shared" si="1"/>
        <v>7.14</v>
      </c>
      <c r="L111" s="7" t="s">
        <v>277</v>
      </c>
      <c r="N111" s="6">
        <f t="shared" si="3"/>
        <v>7.275</v>
      </c>
    </row>
    <row r="112">
      <c r="A112" s="1" t="s">
        <v>278</v>
      </c>
      <c r="B112" s="3" t="s">
        <v>40</v>
      </c>
      <c r="C112" s="3">
        <v>5.5</v>
      </c>
      <c r="D112" s="4">
        <v>44827.0</v>
      </c>
      <c r="E112" s="1" t="s">
        <v>88</v>
      </c>
      <c r="F112" s="1">
        <v>7.4</v>
      </c>
      <c r="G112" s="1">
        <v>7.0</v>
      </c>
      <c r="H112" s="1">
        <v>7.4</v>
      </c>
      <c r="I112" s="1">
        <v>7.6</v>
      </c>
      <c r="J112" s="1">
        <v>6.2</v>
      </c>
      <c r="K112" s="1">
        <f t="shared" si="1"/>
        <v>7.12</v>
      </c>
      <c r="L112" s="5"/>
      <c r="N112" s="6">
        <f t="shared" si="3"/>
        <v>7.05</v>
      </c>
    </row>
    <row r="113">
      <c r="A113" s="1" t="s">
        <v>279</v>
      </c>
      <c r="B113" s="1" t="s">
        <v>15</v>
      </c>
      <c r="C113" s="3" t="s">
        <v>20</v>
      </c>
      <c r="D113" s="4">
        <v>45969.0</v>
      </c>
      <c r="E113" s="1" t="s">
        <v>280</v>
      </c>
      <c r="F113" s="1">
        <v>7.4</v>
      </c>
      <c r="G113" s="1">
        <v>7.2</v>
      </c>
      <c r="H113" s="1">
        <v>6.4</v>
      </c>
      <c r="I113" s="1">
        <v>7.3</v>
      </c>
      <c r="J113" s="1">
        <v>7.2</v>
      </c>
      <c r="K113" s="1">
        <f t="shared" si="1"/>
        <v>7.1</v>
      </c>
      <c r="L113" s="7" t="s">
        <v>281</v>
      </c>
      <c r="M113" s="1" t="s">
        <v>48</v>
      </c>
      <c r="N113" s="6">
        <f t="shared" si="3"/>
        <v>7.275</v>
      </c>
    </row>
    <row r="114">
      <c r="A114" s="1" t="s">
        <v>282</v>
      </c>
      <c r="B114" s="3" t="s">
        <v>24</v>
      </c>
      <c r="C114" s="3">
        <v>5.75</v>
      </c>
      <c r="D114" s="4">
        <v>44889.0</v>
      </c>
      <c r="E114" s="1" t="s">
        <v>78</v>
      </c>
      <c r="F114" s="1">
        <v>7.0</v>
      </c>
      <c r="G114" s="1">
        <v>7.2</v>
      </c>
      <c r="H114" s="1">
        <v>7.0</v>
      </c>
      <c r="I114" s="1">
        <v>7.2</v>
      </c>
      <c r="J114" s="1">
        <v>7.0</v>
      </c>
      <c r="K114" s="1">
        <f t="shared" si="1"/>
        <v>7.08</v>
      </c>
      <c r="L114" s="5"/>
      <c r="N114" s="6">
        <f t="shared" si="3"/>
        <v>7.1</v>
      </c>
    </row>
    <row r="115">
      <c r="A115" s="1" t="s">
        <v>283</v>
      </c>
      <c r="B115" s="1" t="s">
        <v>15</v>
      </c>
      <c r="C115" s="3">
        <v>6.7</v>
      </c>
      <c r="D115" s="4">
        <v>45682.0</v>
      </c>
      <c r="E115" s="1" t="s">
        <v>284</v>
      </c>
      <c r="F115" s="1">
        <v>7.6</v>
      </c>
      <c r="G115" s="1">
        <v>7.1</v>
      </c>
      <c r="H115" s="1">
        <v>7.2</v>
      </c>
      <c r="I115" s="1">
        <v>7.5</v>
      </c>
      <c r="J115" s="1">
        <v>6.0</v>
      </c>
      <c r="K115" s="1">
        <f t="shared" si="1"/>
        <v>7.08</v>
      </c>
      <c r="L115" s="7"/>
      <c r="M115" s="1" t="s">
        <v>176</v>
      </c>
      <c r="N115" s="6">
        <f t="shared" si="3"/>
        <v>7.05</v>
      </c>
    </row>
    <row r="116">
      <c r="A116" s="1" t="s">
        <v>285</v>
      </c>
      <c r="B116" s="1" t="s">
        <v>15</v>
      </c>
      <c r="C116" s="3">
        <v>7.3</v>
      </c>
      <c r="D116" s="4">
        <v>45969.0</v>
      </c>
      <c r="E116" s="1" t="s">
        <v>280</v>
      </c>
      <c r="F116" s="1">
        <v>7.1</v>
      </c>
      <c r="G116" s="1">
        <v>6.8</v>
      </c>
      <c r="H116" s="1">
        <v>6.7</v>
      </c>
      <c r="I116" s="1">
        <v>7.6</v>
      </c>
      <c r="J116" s="1">
        <v>7.2</v>
      </c>
      <c r="K116" s="1">
        <f t="shared" si="1"/>
        <v>7.08</v>
      </c>
      <c r="L116" s="7" t="s">
        <v>286</v>
      </c>
      <c r="M116" s="1" t="s">
        <v>48</v>
      </c>
      <c r="N116" s="6">
        <f t="shared" si="3"/>
        <v>7.175</v>
      </c>
    </row>
    <row r="117">
      <c r="A117" s="1" t="s">
        <v>287</v>
      </c>
      <c r="B117" s="1" t="s">
        <v>24</v>
      </c>
      <c r="C117" s="3">
        <v>5.7</v>
      </c>
      <c r="D117" s="4" t="s">
        <v>20</v>
      </c>
      <c r="E117" s="1" t="s">
        <v>288</v>
      </c>
      <c r="F117" s="1">
        <v>6.7</v>
      </c>
      <c r="G117" s="1">
        <v>6.6</v>
      </c>
      <c r="H117" s="1">
        <v>7.6</v>
      </c>
      <c r="I117" s="1">
        <v>7.8</v>
      </c>
      <c r="J117" s="1">
        <v>6.7</v>
      </c>
      <c r="K117" s="1">
        <f t="shared" si="1"/>
        <v>7.08</v>
      </c>
      <c r="L117" s="7" t="s">
        <v>289</v>
      </c>
      <c r="N117" s="6">
        <f t="shared" si="3"/>
        <v>6.95</v>
      </c>
    </row>
    <row r="118">
      <c r="A118" s="1" t="s">
        <v>290</v>
      </c>
      <c r="B118" s="1" t="s">
        <v>40</v>
      </c>
      <c r="C118" s="8">
        <v>5.35</v>
      </c>
      <c r="D118" s="4">
        <v>44876.0</v>
      </c>
      <c r="E118" s="1" t="s">
        <v>41</v>
      </c>
      <c r="F118" s="1">
        <v>7.4</v>
      </c>
      <c r="G118" s="1">
        <v>6.9</v>
      </c>
      <c r="H118" s="1">
        <v>7.0</v>
      </c>
      <c r="I118" s="1">
        <v>7.3</v>
      </c>
      <c r="J118" s="1">
        <v>6.7</v>
      </c>
      <c r="K118" s="1">
        <f t="shared" si="1"/>
        <v>7.06</v>
      </c>
      <c r="L118" s="5"/>
      <c r="N118" s="6">
        <f t="shared" si="3"/>
        <v>7.075</v>
      </c>
    </row>
    <row r="119">
      <c r="A119" s="1" t="s">
        <v>291</v>
      </c>
      <c r="B119" s="1" t="s">
        <v>36</v>
      </c>
      <c r="C119" s="3">
        <v>6.2</v>
      </c>
      <c r="D119" s="4">
        <v>45326.0</v>
      </c>
      <c r="E119" s="1" t="s">
        <v>292</v>
      </c>
      <c r="F119" s="1">
        <v>7.4</v>
      </c>
      <c r="G119" s="1">
        <v>7.3</v>
      </c>
      <c r="H119" s="1">
        <v>6.8</v>
      </c>
      <c r="I119" s="1">
        <v>6.6</v>
      </c>
      <c r="J119" s="1">
        <v>7.2</v>
      </c>
      <c r="K119" s="1">
        <f t="shared" si="1"/>
        <v>7.06</v>
      </c>
      <c r="L119" s="7" t="s">
        <v>293</v>
      </c>
      <c r="N119" s="6">
        <f t="shared" si="3"/>
        <v>7.125</v>
      </c>
    </row>
    <row r="120">
      <c r="A120" s="1" t="s">
        <v>294</v>
      </c>
      <c r="B120" s="1" t="s">
        <v>36</v>
      </c>
      <c r="C120" s="1" t="s">
        <v>20</v>
      </c>
      <c r="D120" s="4">
        <v>45326.0</v>
      </c>
      <c r="E120" s="1" t="s">
        <v>295</v>
      </c>
      <c r="F120" s="1">
        <v>7.3</v>
      </c>
      <c r="G120" s="1">
        <v>6.5</v>
      </c>
      <c r="H120" s="1">
        <v>7.1</v>
      </c>
      <c r="I120" s="1">
        <v>7.4</v>
      </c>
      <c r="J120" s="1">
        <v>7.0</v>
      </c>
      <c r="K120" s="1">
        <f t="shared" si="1"/>
        <v>7.06</v>
      </c>
      <c r="L120" s="7" t="s">
        <v>296</v>
      </c>
      <c r="N120" s="6">
        <f t="shared" si="3"/>
        <v>7.05</v>
      </c>
    </row>
    <row r="121">
      <c r="A121" s="1" t="s">
        <v>297</v>
      </c>
      <c r="B121" s="3" t="s">
        <v>24</v>
      </c>
      <c r="C121" s="3">
        <v>5.5</v>
      </c>
      <c r="D121" s="4">
        <v>45569.0</v>
      </c>
      <c r="E121" s="1" t="s">
        <v>298</v>
      </c>
      <c r="F121" s="1">
        <v>6.8</v>
      </c>
      <c r="G121" s="1">
        <v>6.9</v>
      </c>
      <c r="H121" s="1">
        <v>7.0</v>
      </c>
      <c r="I121" s="1">
        <v>7.1</v>
      </c>
      <c r="J121" s="1">
        <v>7.5</v>
      </c>
      <c r="K121" s="1">
        <f t="shared" si="1"/>
        <v>7.06</v>
      </c>
      <c r="L121" s="7" t="s">
        <v>299</v>
      </c>
      <c r="N121" s="6">
        <f t="shared" si="3"/>
        <v>7.075</v>
      </c>
    </row>
    <row r="122">
      <c r="A122" s="1" t="s">
        <v>300</v>
      </c>
      <c r="B122" s="1" t="s">
        <v>36</v>
      </c>
      <c r="C122" s="3">
        <v>6.7</v>
      </c>
      <c r="D122" s="4">
        <v>45633.0</v>
      </c>
      <c r="E122" s="1" t="s">
        <v>301</v>
      </c>
      <c r="F122" s="1">
        <v>7.3</v>
      </c>
      <c r="G122" s="1">
        <v>6.8</v>
      </c>
      <c r="H122" s="1">
        <v>6.8</v>
      </c>
      <c r="I122" s="1">
        <v>7.2</v>
      </c>
      <c r="J122" s="1">
        <v>7.2</v>
      </c>
      <c r="K122" s="1">
        <f t="shared" si="1"/>
        <v>7.06</v>
      </c>
      <c r="L122" s="7" t="s">
        <v>302</v>
      </c>
      <c r="M122" s="1" t="s">
        <v>176</v>
      </c>
      <c r="N122" s="6">
        <f t="shared" si="3"/>
        <v>7.125</v>
      </c>
    </row>
    <row r="123">
      <c r="A123" s="1" t="s">
        <v>303</v>
      </c>
      <c r="B123" s="1" t="s">
        <v>15</v>
      </c>
      <c r="C123" s="3">
        <v>6.1</v>
      </c>
      <c r="D123" s="4">
        <v>45064.0</v>
      </c>
      <c r="E123" s="1" t="s">
        <v>304</v>
      </c>
      <c r="F123" s="1">
        <v>7.2</v>
      </c>
      <c r="G123" s="1">
        <v>7.4</v>
      </c>
      <c r="H123" s="1">
        <v>5.6</v>
      </c>
      <c r="I123" s="1">
        <v>7.6</v>
      </c>
      <c r="J123" s="1">
        <v>7.4</v>
      </c>
      <c r="K123" s="1">
        <f t="shared" si="1"/>
        <v>7.04</v>
      </c>
      <c r="L123" s="7" t="s">
        <v>305</v>
      </c>
      <c r="N123" s="6">
        <f t="shared" si="3"/>
        <v>7.4</v>
      </c>
    </row>
    <row r="124">
      <c r="A124" s="1" t="s">
        <v>306</v>
      </c>
      <c r="B124" s="1" t="s">
        <v>15</v>
      </c>
      <c r="C124" s="3">
        <v>6.9</v>
      </c>
      <c r="D124" s="4">
        <v>45884.0</v>
      </c>
      <c r="E124" s="1" t="s">
        <v>307</v>
      </c>
      <c r="F124" s="1">
        <v>7.4</v>
      </c>
      <c r="G124" s="1">
        <v>6.9</v>
      </c>
      <c r="H124" s="1">
        <v>6.3</v>
      </c>
      <c r="I124" s="1">
        <v>7.4</v>
      </c>
      <c r="J124" s="1">
        <v>7.2</v>
      </c>
      <c r="K124" s="1">
        <f t="shared" si="1"/>
        <v>7.04</v>
      </c>
      <c r="L124" s="7" t="s">
        <v>308</v>
      </c>
      <c r="M124" s="1" t="s">
        <v>176</v>
      </c>
      <c r="N124" s="6">
        <f t="shared" si="3"/>
        <v>7.225</v>
      </c>
    </row>
    <row r="125">
      <c r="A125" s="1" t="s">
        <v>309</v>
      </c>
      <c r="B125" s="1" t="s">
        <v>40</v>
      </c>
      <c r="C125" s="3">
        <v>6.9</v>
      </c>
      <c r="D125" s="4">
        <v>45977.0</v>
      </c>
      <c r="E125" s="1" t="s">
        <v>310</v>
      </c>
      <c r="F125" s="1">
        <v>7.4</v>
      </c>
      <c r="G125" s="1">
        <v>6.6</v>
      </c>
      <c r="H125" s="1">
        <v>6.5</v>
      </c>
      <c r="I125" s="1">
        <v>7.6</v>
      </c>
      <c r="J125" s="1">
        <v>7.1</v>
      </c>
      <c r="K125" s="1">
        <f t="shared" si="1"/>
        <v>7.04</v>
      </c>
      <c r="L125" s="7" t="s">
        <v>311</v>
      </c>
      <c r="M125" s="1" t="s">
        <v>176</v>
      </c>
    </row>
    <row r="126">
      <c r="A126" s="1" t="s">
        <v>312</v>
      </c>
      <c r="B126" s="1" t="s">
        <v>15</v>
      </c>
      <c r="C126" s="3">
        <v>0.0</v>
      </c>
      <c r="D126" s="9" t="s">
        <v>20</v>
      </c>
      <c r="E126" s="1" t="s">
        <v>111</v>
      </c>
      <c r="F126" s="1">
        <v>6.7</v>
      </c>
      <c r="G126" s="1">
        <v>7.0</v>
      </c>
      <c r="H126" s="1">
        <v>6.8</v>
      </c>
      <c r="I126" s="1">
        <v>7.2</v>
      </c>
      <c r="J126" s="1">
        <v>7.5</v>
      </c>
      <c r="K126" s="1">
        <f t="shared" si="1"/>
        <v>7.04</v>
      </c>
      <c r="L126" s="7" t="s">
        <v>313</v>
      </c>
      <c r="N126" s="6">
        <f t="shared" ref="N126:N139" si="4">AVERAGE(F126,G126,I126,J126)</f>
        <v>7.1</v>
      </c>
    </row>
    <row r="127">
      <c r="A127" s="1" t="s">
        <v>314</v>
      </c>
      <c r="B127" s="1" t="s">
        <v>36</v>
      </c>
      <c r="C127" s="3">
        <v>5.8</v>
      </c>
      <c r="D127" s="4">
        <v>44849.0</v>
      </c>
      <c r="E127" s="1" t="s">
        <v>315</v>
      </c>
      <c r="F127" s="1">
        <v>6.6</v>
      </c>
      <c r="G127" s="1">
        <v>6.9</v>
      </c>
      <c r="H127" s="1">
        <v>7.1</v>
      </c>
      <c r="I127" s="1">
        <v>6.9</v>
      </c>
      <c r="J127" s="1">
        <v>7.6</v>
      </c>
      <c r="K127" s="1">
        <f t="shared" si="1"/>
        <v>7.02</v>
      </c>
      <c r="L127" s="5"/>
      <c r="N127" s="6">
        <f t="shared" si="4"/>
        <v>7</v>
      </c>
    </row>
    <row r="128">
      <c r="A128" s="1" t="s">
        <v>316</v>
      </c>
      <c r="B128" s="1" t="s">
        <v>40</v>
      </c>
      <c r="C128" s="3">
        <v>5.75</v>
      </c>
      <c r="D128" s="4">
        <v>45255.0</v>
      </c>
      <c r="E128" s="1" t="s">
        <v>205</v>
      </c>
      <c r="F128" s="1">
        <v>7.3</v>
      </c>
      <c r="G128" s="1">
        <v>7.0</v>
      </c>
      <c r="H128" s="1">
        <v>7.4</v>
      </c>
      <c r="I128" s="1">
        <v>7.7</v>
      </c>
      <c r="J128" s="1">
        <v>5.7</v>
      </c>
      <c r="K128" s="1">
        <f t="shared" si="1"/>
        <v>7.02</v>
      </c>
      <c r="L128" s="7" t="s">
        <v>317</v>
      </c>
      <c r="N128" s="6">
        <f t="shared" si="4"/>
        <v>6.925</v>
      </c>
    </row>
    <row r="129">
      <c r="A129" s="1" t="s">
        <v>318</v>
      </c>
      <c r="B129" s="3" t="s">
        <v>24</v>
      </c>
      <c r="C129" s="3">
        <v>5.7</v>
      </c>
      <c r="D129" s="4">
        <v>45569.0</v>
      </c>
      <c r="E129" s="1" t="s">
        <v>319</v>
      </c>
      <c r="F129" s="1">
        <v>7.1</v>
      </c>
      <c r="G129" s="1">
        <v>7.4</v>
      </c>
      <c r="H129" s="1">
        <v>5.9</v>
      </c>
      <c r="I129" s="1">
        <v>7.5</v>
      </c>
      <c r="J129" s="1">
        <v>7.2</v>
      </c>
      <c r="K129" s="1">
        <f t="shared" si="1"/>
        <v>7.02</v>
      </c>
      <c r="L129" s="7" t="s">
        <v>320</v>
      </c>
      <c r="N129" s="6">
        <f t="shared" si="4"/>
        <v>7.3</v>
      </c>
    </row>
    <row r="130">
      <c r="A130" s="1" t="s">
        <v>321</v>
      </c>
      <c r="B130" s="1" t="s">
        <v>15</v>
      </c>
      <c r="C130" s="3" t="s">
        <v>20</v>
      </c>
      <c r="D130" s="4">
        <v>45725.0</v>
      </c>
      <c r="E130" s="1" t="s">
        <v>322</v>
      </c>
      <c r="F130" s="1">
        <v>7.6</v>
      </c>
      <c r="G130" s="1">
        <v>7.7</v>
      </c>
      <c r="H130" s="1">
        <v>6.8</v>
      </c>
      <c r="I130" s="1">
        <v>7.5</v>
      </c>
      <c r="J130" s="1">
        <v>5.5</v>
      </c>
      <c r="K130" s="1">
        <f t="shared" si="1"/>
        <v>7.02</v>
      </c>
      <c r="L130" s="7" t="s">
        <v>323</v>
      </c>
      <c r="M130" s="1" t="s">
        <v>176</v>
      </c>
      <c r="N130" s="6">
        <f t="shared" si="4"/>
        <v>7.075</v>
      </c>
    </row>
    <row r="131">
      <c r="A131" s="1" t="s">
        <v>324</v>
      </c>
      <c r="B131" s="3" t="s">
        <v>40</v>
      </c>
      <c r="C131" s="3">
        <v>5.7</v>
      </c>
      <c r="D131" s="9" t="s">
        <v>20</v>
      </c>
      <c r="E131" s="1" t="s">
        <v>72</v>
      </c>
      <c r="F131" s="1">
        <v>7.0</v>
      </c>
      <c r="G131" s="1">
        <v>7.3</v>
      </c>
      <c r="H131" s="1">
        <v>6.9</v>
      </c>
      <c r="I131" s="1">
        <v>7.2</v>
      </c>
      <c r="J131" s="1">
        <v>6.7</v>
      </c>
      <c r="K131" s="1">
        <f t="shared" si="1"/>
        <v>7.02</v>
      </c>
      <c r="L131" s="7" t="s">
        <v>325</v>
      </c>
      <c r="N131" s="6">
        <f t="shared" si="4"/>
        <v>7.05</v>
      </c>
    </row>
    <row r="132">
      <c r="A132" s="1" t="s">
        <v>326</v>
      </c>
      <c r="B132" s="1" t="s">
        <v>15</v>
      </c>
      <c r="C132" s="3">
        <v>6.1</v>
      </c>
      <c r="D132" s="4" t="s">
        <v>20</v>
      </c>
      <c r="E132" s="1" t="s">
        <v>327</v>
      </c>
      <c r="F132" s="1">
        <v>7.2</v>
      </c>
      <c r="G132" s="1">
        <v>7.3</v>
      </c>
      <c r="H132" s="1">
        <v>7.3</v>
      </c>
      <c r="I132" s="1">
        <v>6.7</v>
      </c>
      <c r="J132" s="1">
        <v>6.6</v>
      </c>
      <c r="K132" s="1">
        <f t="shared" si="1"/>
        <v>7.02</v>
      </c>
      <c r="L132" s="7" t="s">
        <v>328</v>
      </c>
      <c r="N132" s="6">
        <f t="shared" si="4"/>
        <v>6.95</v>
      </c>
    </row>
    <row r="133">
      <c r="A133" s="1" t="s">
        <v>329</v>
      </c>
      <c r="B133" s="3" t="s">
        <v>40</v>
      </c>
      <c r="C133" s="3">
        <v>5.9</v>
      </c>
      <c r="D133" s="4">
        <v>44743.0</v>
      </c>
      <c r="E133" s="1" t="s">
        <v>16</v>
      </c>
      <c r="F133" s="1">
        <v>6.6</v>
      </c>
      <c r="G133" s="1">
        <v>6.7</v>
      </c>
      <c r="H133" s="1">
        <v>7.2</v>
      </c>
      <c r="I133" s="1">
        <v>7.3</v>
      </c>
      <c r="J133" s="1">
        <v>7.2</v>
      </c>
      <c r="K133" s="1">
        <f t="shared" si="1"/>
        <v>7</v>
      </c>
      <c r="L133" s="5"/>
      <c r="N133" s="6">
        <f t="shared" si="4"/>
        <v>6.95</v>
      </c>
    </row>
    <row r="134">
      <c r="A134" s="1" t="s">
        <v>330</v>
      </c>
      <c r="B134" s="1" t="s">
        <v>36</v>
      </c>
      <c r="C134" s="1" t="s">
        <v>20</v>
      </c>
      <c r="D134" s="4">
        <v>45326.0</v>
      </c>
      <c r="E134" s="1" t="s">
        <v>331</v>
      </c>
      <c r="F134" s="1">
        <v>6.9</v>
      </c>
      <c r="G134" s="1">
        <v>6.3</v>
      </c>
      <c r="H134" s="1">
        <v>7.3</v>
      </c>
      <c r="I134" s="1">
        <v>7.2</v>
      </c>
      <c r="J134" s="1">
        <v>7.3</v>
      </c>
      <c r="K134" s="1">
        <f t="shared" si="1"/>
        <v>7</v>
      </c>
      <c r="L134" s="7" t="s">
        <v>332</v>
      </c>
      <c r="N134" s="6">
        <f t="shared" si="4"/>
        <v>6.925</v>
      </c>
    </row>
    <row r="135">
      <c r="A135" s="1" t="s">
        <v>333</v>
      </c>
      <c r="B135" s="1" t="s">
        <v>36</v>
      </c>
      <c r="C135" s="3">
        <v>6.6</v>
      </c>
      <c r="D135" s="4">
        <v>45644.0</v>
      </c>
      <c r="E135" s="1" t="s">
        <v>334</v>
      </c>
      <c r="F135" s="1">
        <v>7.5</v>
      </c>
      <c r="G135" s="1">
        <v>7.0</v>
      </c>
      <c r="H135" s="1">
        <v>5.9</v>
      </c>
      <c r="I135" s="1">
        <v>7.2</v>
      </c>
      <c r="J135" s="1">
        <v>7.4</v>
      </c>
      <c r="K135" s="1">
        <f t="shared" si="1"/>
        <v>7</v>
      </c>
      <c r="L135" s="7" t="s">
        <v>335</v>
      </c>
      <c r="M135" s="1" t="s">
        <v>48</v>
      </c>
      <c r="N135" s="6">
        <f t="shared" si="4"/>
        <v>7.275</v>
      </c>
    </row>
    <row r="136">
      <c r="A136" s="1" t="s">
        <v>336</v>
      </c>
      <c r="B136" s="1" t="s">
        <v>40</v>
      </c>
      <c r="C136" s="8">
        <v>5.0</v>
      </c>
      <c r="D136" s="4" t="s">
        <v>20</v>
      </c>
      <c r="E136" s="1" t="s">
        <v>337</v>
      </c>
      <c r="F136" s="13">
        <v>7.2</v>
      </c>
      <c r="G136" s="1">
        <v>6.9</v>
      </c>
      <c r="H136" s="1">
        <v>6.7</v>
      </c>
      <c r="I136" s="1">
        <v>7.4</v>
      </c>
      <c r="J136" s="1">
        <v>6.8</v>
      </c>
      <c r="K136" s="1">
        <f t="shared" si="1"/>
        <v>7</v>
      </c>
      <c r="L136" s="7" t="s">
        <v>338</v>
      </c>
      <c r="N136" s="6">
        <f t="shared" si="4"/>
        <v>7.075</v>
      </c>
    </row>
    <row r="137">
      <c r="A137" s="1" t="s">
        <v>339</v>
      </c>
      <c r="B137" s="1" t="s">
        <v>36</v>
      </c>
      <c r="C137" s="3">
        <v>6.6</v>
      </c>
      <c r="D137" s="4">
        <v>45835.0</v>
      </c>
      <c r="E137" s="1" t="s">
        <v>158</v>
      </c>
      <c r="F137" s="1">
        <v>7.3</v>
      </c>
      <c r="G137" s="1">
        <v>7.2</v>
      </c>
      <c r="H137" s="1">
        <v>6.2</v>
      </c>
      <c r="I137" s="1">
        <v>7.3</v>
      </c>
      <c r="J137" s="1">
        <v>6.9</v>
      </c>
      <c r="K137" s="1">
        <f t="shared" si="1"/>
        <v>6.98</v>
      </c>
      <c r="L137" s="7" t="s">
        <v>340</v>
      </c>
      <c r="N137" s="6">
        <f t="shared" si="4"/>
        <v>7.175</v>
      </c>
    </row>
    <row r="138">
      <c r="A138" s="1" t="s">
        <v>341</v>
      </c>
      <c r="B138" s="1" t="s">
        <v>40</v>
      </c>
      <c r="C138" s="8">
        <v>5.75</v>
      </c>
      <c r="D138" s="4">
        <v>44876.0</v>
      </c>
      <c r="E138" s="1" t="s">
        <v>270</v>
      </c>
      <c r="F138" s="1">
        <v>5.8</v>
      </c>
      <c r="G138" s="1">
        <v>6.1</v>
      </c>
      <c r="H138" s="1">
        <v>7.3</v>
      </c>
      <c r="I138" s="1">
        <v>7.3</v>
      </c>
      <c r="J138" s="1">
        <v>8.3</v>
      </c>
      <c r="K138" s="1">
        <f t="shared" si="1"/>
        <v>6.96</v>
      </c>
      <c r="L138" s="5"/>
      <c r="N138" s="6">
        <f t="shared" si="4"/>
        <v>6.875</v>
      </c>
    </row>
    <row r="139">
      <c r="A139" s="1" t="s">
        <v>342</v>
      </c>
      <c r="B139" s="1" t="s">
        <v>40</v>
      </c>
      <c r="C139" s="3">
        <v>6.5</v>
      </c>
      <c r="D139" s="4">
        <v>45857.0</v>
      </c>
      <c r="E139" s="1" t="s">
        <v>199</v>
      </c>
      <c r="F139" s="1">
        <v>7.0</v>
      </c>
      <c r="G139" s="1">
        <v>7.2</v>
      </c>
      <c r="H139" s="1">
        <v>6.6</v>
      </c>
      <c r="I139" s="1">
        <v>7.4</v>
      </c>
      <c r="J139" s="1">
        <v>6.6</v>
      </c>
      <c r="K139" s="1">
        <f t="shared" si="1"/>
        <v>6.96</v>
      </c>
      <c r="L139" s="7" t="s">
        <v>343</v>
      </c>
      <c r="M139" s="1" t="s">
        <v>48</v>
      </c>
      <c r="N139" s="6">
        <f t="shared" si="4"/>
        <v>7.05</v>
      </c>
    </row>
    <row r="140">
      <c r="A140" s="1" t="s">
        <v>344</v>
      </c>
      <c r="B140" s="1" t="s">
        <v>24</v>
      </c>
      <c r="C140" s="3">
        <v>6.9</v>
      </c>
      <c r="D140" s="4">
        <v>45988.0</v>
      </c>
      <c r="E140" s="1" t="s">
        <v>345</v>
      </c>
      <c r="F140" s="1">
        <v>6.5</v>
      </c>
      <c r="G140" s="1">
        <v>6.9</v>
      </c>
      <c r="H140" s="1">
        <v>7.4</v>
      </c>
      <c r="I140" s="1">
        <v>7.0</v>
      </c>
      <c r="J140" s="1">
        <v>7.0</v>
      </c>
      <c r="K140" s="1">
        <f t="shared" si="1"/>
        <v>6.96</v>
      </c>
      <c r="L140" s="7" t="s">
        <v>346</v>
      </c>
      <c r="M140" s="1" t="s">
        <v>48</v>
      </c>
    </row>
    <row r="141">
      <c r="A141" s="1" t="s">
        <v>347</v>
      </c>
      <c r="B141" s="3" t="s">
        <v>40</v>
      </c>
      <c r="C141" s="3">
        <v>5.4</v>
      </c>
      <c r="D141" s="4">
        <v>44775.0</v>
      </c>
      <c r="E141" s="1" t="s">
        <v>348</v>
      </c>
      <c r="F141" s="1">
        <v>7.5</v>
      </c>
      <c r="G141" s="1">
        <v>7.3</v>
      </c>
      <c r="H141" s="1">
        <v>6.7</v>
      </c>
      <c r="I141" s="1">
        <v>6.5</v>
      </c>
      <c r="J141" s="1">
        <v>6.7</v>
      </c>
      <c r="K141" s="1">
        <f t="shared" si="1"/>
        <v>6.94</v>
      </c>
      <c r="L141" s="7" t="s">
        <v>349</v>
      </c>
      <c r="N141" s="6">
        <f t="shared" ref="N141:N148" si="5">AVERAGE(F141,G141,I141,J141)</f>
        <v>7</v>
      </c>
    </row>
    <row r="142">
      <c r="A142" s="1" t="s">
        <v>350</v>
      </c>
      <c r="B142" s="1" t="s">
        <v>40</v>
      </c>
      <c r="C142" s="3">
        <v>5.8</v>
      </c>
      <c r="D142" s="4">
        <v>44918.0</v>
      </c>
      <c r="E142" s="1" t="s">
        <v>351</v>
      </c>
      <c r="F142" s="1">
        <v>7.3</v>
      </c>
      <c r="G142" s="1">
        <v>7.1</v>
      </c>
      <c r="H142" s="1">
        <v>6.3</v>
      </c>
      <c r="I142" s="1">
        <v>6.8</v>
      </c>
      <c r="J142" s="1">
        <v>7.2</v>
      </c>
      <c r="K142" s="1">
        <f t="shared" si="1"/>
        <v>6.94</v>
      </c>
      <c r="L142" s="7" t="s">
        <v>352</v>
      </c>
      <c r="N142" s="6">
        <f t="shared" si="5"/>
        <v>7.1</v>
      </c>
    </row>
    <row r="143">
      <c r="A143" s="1" t="s">
        <v>353</v>
      </c>
      <c r="B143" s="1" t="s">
        <v>36</v>
      </c>
      <c r="C143" s="3">
        <v>6.2</v>
      </c>
      <c r="D143" s="4">
        <v>45633.0</v>
      </c>
      <c r="E143" s="1" t="s">
        <v>354</v>
      </c>
      <c r="F143" s="1">
        <v>6.5</v>
      </c>
      <c r="G143" s="1">
        <v>6.8</v>
      </c>
      <c r="H143" s="1">
        <v>6.9</v>
      </c>
      <c r="I143" s="1">
        <v>6.9</v>
      </c>
      <c r="J143" s="1">
        <v>7.6</v>
      </c>
      <c r="K143" s="1">
        <f t="shared" si="1"/>
        <v>6.94</v>
      </c>
      <c r="L143" s="7" t="s">
        <v>355</v>
      </c>
      <c r="M143" s="1" t="s">
        <v>48</v>
      </c>
      <c r="N143" s="6">
        <f t="shared" si="5"/>
        <v>6.95</v>
      </c>
    </row>
    <row r="144">
      <c r="A144" s="1" t="s">
        <v>356</v>
      </c>
      <c r="B144" s="1" t="s">
        <v>15</v>
      </c>
      <c r="C144" s="3">
        <v>7.5</v>
      </c>
      <c r="D144" s="4">
        <v>45969.0</v>
      </c>
      <c r="E144" s="1" t="s">
        <v>280</v>
      </c>
      <c r="F144" s="1">
        <v>7.7</v>
      </c>
      <c r="G144" s="1">
        <v>7.3</v>
      </c>
      <c r="H144" s="1">
        <v>4.3</v>
      </c>
      <c r="I144" s="1">
        <v>7.5</v>
      </c>
      <c r="J144" s="1">
        <v>7.9</v>
      </c>
      <c r="K144" s="1">
        <f t="shared" si="1"/>
        <v>6.94</v>
      </c>
      <c r="L144" s="7" t="s">
        <v>357</v>
      </c>
      <c r="M144" s="1" t="s">
        <v>48</v>
      </c>
      <c r="N144" s="6">
        <f t="shared" si="5"/>
        <v>7.6</v>
      </c>
    </row>
    <row r="145">
      <c r="A145" s="1" t="s">
        <v>358</v>
      </c>
      <c r="B145" s="1" t="s">
        <v>40</v>
      </c>
      <c r="C145" s="1" t="s">
        <v>20</v>
      </c>
      <c r="D145" s="4" t="s">
        <v>20</v>
      </c>
      <c r="E145" s="1" t="s">
        <v>359</v>
      </c>
      <c r="F145" s="1">
        <v>7.4</v>
      </c>
      <c r="G145" s="1">
        <v>7.1</v>
      </c>
      <c r="H145" s="1">
        <v>4.8</v>
      </c>
      <c r="I145" s="1">
        <v>7.5</v>
      </c>
      <c r="J145" s="1">
        <v>7.9</v>
      </c>
      <c r="K145" s="1">
        <f t="shared" si="1"/>
        <v>6.94</v>
      </c>
      <c r="L145" s="7" t="s">
        <v>360</v>
      </c>
      <c r="N145" s="6">
        <f t="shared" si="5"/>
        <v>7.475</v>
      </c>
    </row>
    <row r="146">
      <c r="A146" s="1" t="s">
        <v>361</v>
      </c>
      <c r="B146" s="1" t="s">
        <v>40</v>
      </c>
      <c r="C146" s="3">
        <v>6.6</v>
      </c>
      <c r="D146" s="4">
        <v>45270.0</v>
      </c>
      <c r="E146" s="1" t="s">
        <v>82</v>
      </c>
      <c r="F146" s="1">
        <v>7.1</v>
      </c>
      <c r="G146" s="1">
        <v>7.2</v>
      </c>
      <c r="H146" s="1">
        <v>6.2</v>
      </c>
      <c r="I146" s="1">
        <v>7.2</v>
      </c>
      <c r="J146" s="1">
        <v>6.9</v>
      </c>
      <c r="K146" s="1">
        <f t="shared" si="1"/>
        <v>6.92</v>
      </c>
      <c r="L146" s="7" t="s">
        <v>362</v>
      </c>
      <c r="N146" s="6">
        <f t="shared" si="5"/>
        <v>7.1</v>
      </c>
    </row>
    <row r="147">
      <c r="A147" s="1" t="s">
        <v>363</v>
      </c>
      <c r="B147" s="1" t="s">
        <v>15</v>
      </c>
      <c r="C147" s="3">
        <v>6.95</v>
      </c>
      <c r="D147" s="4">
        <v>45541.0</v>
      </c>
      <c r="E147" s="1" t="s">
        <v>364</v>
      </c>
      <c r="F147" s="1">
        <v>7.1</v>
      </c>
      <c r="G147" s="1">
        <v>7.0</v>
      </c>
      <c r="H147" s="1">
        <v>7.0</v>
      </c>
      <c r="I147" s="1">
        <v>7.0</v>
      </c>
      <c r="J147" s="1">
        <v>6.5</v>
      </c>
      <c r="K147" s="1">
        <f t="shared" si="1"/>
        <v>6.92</v>
      </c>
      <c r="L147" s="7" t="s">
        <v>365</v>
      </c>
      <c r="N147" s="6">
        <f t="shared" si="5"/>
        <v>6.9</v>
      </c>
    </row>
    <row r="148">
      <c r="A148" s="1" t="s">
        <v>366</v>
      </c>
      <c r="B148" s="3" t="s">
        <v>24</v>
      </c>
      <c r="C148" s="3">
        <v>6.7</v>
      </c>
      <c r="D148" s="4">
        <v>45569.0</v>
      </c>
      <c r="E148" s="1" t="s">
        <v>367</v>
      </c>
      <c r="F148" s="1">
        <v>6.8</v>
      </c>
      <c r="G148" s="1">
        <v>6.8</v>
      </c>
      <c r="H148" s="1">
        <v>6.4</v>
      </c>
      <c r="I148" s="1">
        <v>7.2</v>
      </c>
      <c r="J148" s="1">
        <v>7.4</v>
      </c>
      <c r="K148" s="1">
        <f t="shared" si="1"/>
        <v>6.92</v>
      </c>
      <c r="L148" s="7"/>
      <c r="N148" s="6">
        <f t="shared" si="5"/>
        <v>7.05</v>
      </c>
    </row>
    <row r="149">
      <c r="A149" s="1" t="s">
        <v>368</v>
      </c>
      <c r="B149" s="1" t="s">
        <v>24</v>
      </c>
      <c r="C149" s="3">
        <v>6.8</v>
      </c>
      <c r="D149" s="4">
        <v>45988.0</v>
      </c>
      <c r="E149" s="1" t="s">
        <v>369</v>
      </c>
      <c r="F149" s="1">
        <v>6.3</v>
      </c>
      <c r="G149" s="1">
        <v>7.0</v>
      </c>
      <c r="H149" s="1">
        <v>7.2</v>
      </c>
      <c r="I149" s="1">
        <v>7.1</v>
      </c>
      <c r="J149" s="1">
        <v>7.0</v>
      </c>
      <c r="K149" s="1">
        <f t="shared" si="1"/>
        <v>6.92</v>
      </c>
      <c r="L149" s="7" t="s">
        <v>370</v>
      </c>
      <c r="M149" s="1" t="s">
        <v>48</v>
      </c>
    </row>
    <row r="150">
      <c r="A150" s="1" t="s">
        <v>371</v>
      </c>
      <c r="B150" s="1" t="s">
        <v>15</v>
      </c>
      <c r="C150" s="3">
        <v>6.0</v>
      </c>
      <c r="D150" s="4" t="s">
        <v>20</v>
      </c>
      <c r="E150" s="1" t="s">
        <v>372</v>
      </c>
      <c r="F150" s="1">
        <v>7.4</v>
      </c>
      <c r="G150" s="1">
        <v>7.5</v>
      </c>
      <c r="H150" s="1">
        <v>6.2</v>
      </c>
      <c r="I150" s="1">
        <v>7.5</v>
      </c>
      <c r="J150" s="1">
        <v>6.0</v>
      </c>
      <c r="K150" s="1">
        <f t="shared" si="1"/>
        <v>6.92</v>
      </c>
      <c r="L150" s="7" t="s">
        <v>373</v>
      </c>
      <c r="N150" s="6">
        <f t="shared" ref="N150:N152" si="6">AVERAGE(F150,G150,I150,J150)</f>
        <v>7.1</v>
      </c>
    </row>
    <row r="151">
      <c r="A151" s="1" t="s">
        <v>374</v>
      </c>
      <c r="B151" s="1" t="s">
        <v>36</v>
      </c>
      <c r="C151" s="3">
        <v>6.7</v>
      </c>
      <c r="D151" s="4">
        <v>45644.0</v>
      </c>
      <c r="E151" s="1" t="s">
        <v>375</v>
      </c>
      <c r="F151" s="1">
        <v>6.8</v>
      </c>
      <c r="G151" s="1">
        <v>6.2</v>
      </c>
      <c r="H151" s="1">
        <v>6.4</v>
      </c>
      <c r="I151" s="1">
        <v>7.2</v>
      </c>
      <c r="J151" s="1">
        <v>8.0</v>
      </c>
      <c r="K151" s="1">
        <f t="shared" si="1"/>
        <v>6.92</v>
      </c>
      <c r="L151" s="7" t="s">
        <v>376</v>
      </c>
      <c r="M151" s="1" t="s">
        <v>48</v>
      </c>
      <c r="N151" s="6">
        <f t="shared" si="6"/>
        <v>7.05</v>
      </c>
    </row>
    <row r="152">
      <c r="A152" s="1" t="s">
        <v>377</v>
      </c>
      <c r="B152" s="1" t="s">
        <v>40</v>
      </c>
      <c r="C152" s="3">
        <v>6.2</v>
      </c>
      <c r="D152" s="4">
        <v>45519.0</v>
      </c>
      <c r="E152" s="1" t="s">
        <v>378</v>
      </c>
      <c r="F152" s="1">
        <v>6.6</v>
      </c>
      <c r="G152" s="1">
        <v>7.1</v>
      </c>
      <c r="H152" s="1">
        <v>5.7</v>
      </c>
      <c r="I152" s="1">
        <v>7.4</v>
      </c>
      <c r="J152" s="1">
        <v>7.6</v>
      </c>
      <c r="K152" s="1">
        <f t="shared" si="1"/>
        <v>6.88</v>
      </c>
      <c r="L152" s="5"/>
      <c r="N152" s="6">
        <f t="shared" si="6"/>
        <v>7.175</v>
      </c>
    </row>
    <row r="153">
      <c r="A153" s="1" t="s">
        <v>379</v>
      </c>
      <c r="B153" s="1" t="s">
        <v>40</v>
      </c>
      <c r="C153" s="3">
        <v>6.9</v>
      </c>
      <c r="D153" s="4">
        <v>45977.0</v>
      </c>
      <c r="E153" s="1" t="s">
        <v>225</v>
      </c>
      <c r="F153" s="1">
        <v>7.3</v>
      </c>
      <c r="G153" s="1">
        <v>7.4</v>
      </c>
      <c r="H153" s="1">
        <v>6.4</v>
      </c>
      <c r="I153" s="1">
        <v>7.1</v>
      </c>
      <c r="J153" s="1">
        <v>6.1</v>
      </c>
      <c r="K153" s="1">
        <f t="shared" si="1"/>
        <v>6.86</v>
      </c>
      <c r="L153" s="7" t="s">
        <v>380</v>
      </c>
      <c r="M153" s="1" t="s">
        <v>48</v>
      </c>
    </row>
    <row r="154">
      <c r="A154" s="1" t="s">
        <v>381</v>
      </c>
      <c r="B154" s="1" t="s">
        <v>36</v>
      </c>
      <c r="C154" s="3">
        <v>6.9</v>
      </c>
      <c r="D154" s="4">
        <v>45644.0</v>
      </c>
      <c r="E154" s="1" t="s">
        <v>382</v>
      </c>
      <c r="F154" s="1">
        <v>6.9</v>
      </c>
      <c r="G154" s="1">
        <v>6.9</v>
      </c>
      <c r="H154" s="1">
        <v>6.7</v>
      </c>
      <c r="I154" s="1">
        <v>7.5</v>
      </c>
      <c r="J154" s="1">
        <v>6.2</v>
      </c>
      <c r="K154" s="1">
        <f t="shared" si="1"/>
        <v>6.84</v>
      </c>
      <c r="L154" s="7" t="s">
        <v>383</v>
      </c>
      <c r="M154" s="1" t="s">
        <v>176</v>
      </c>
      <c r="N154" s="6">
        <f t="shared" ref="N154:N162" si="7">AVERAGE(F154,G154,I154,J154)</f>
        <v>6.875</v>
      </c>
    </row>
    <row r="155">
      <c r="A155" s="1" t="s">
        <v>384</v>
      </c>
      <c r="B155" s="1" t="s">
        <v>24</v>
      </c>
      <c r="C155" s="3">
        <v>5.8</v>
      </c>
      <c r="D155" s="4">
        <v>44878.0</v>
      </c>
      <c r="E155" s="1" t="s">
        <v>80</v>
      </c>
      <c r="F155" s="1">
        <v>7.2</v>
      </c>
      <c r="G155" s="1">
        <v>6.2</v>
      </c>
      <c r="H155" s="1">
        <v>5.8</v>
      </c>
      <c r="I155" s="1">
        <v>7.7</v>
      </c>
      <c r="J155" s="1">
        <v>7.2</v>
      </c>
      <c r="K155" s="1">
        <f t="shared" si="1"/>
        <v>6.82</v>
      </c>
      <c r="L155" s="5"/>
      <c r="N155" s="6">
        <f t="shared" si="7"/>
        <v>7.075</v>
      </c>
    </row>
    <row r="156">
      <c r="A156" s="1" t="s">
        <v>385</v>
      </c>
      <c r="B156" s="1" t="s">
        <v>15</v>
      </c>
      <c r="C156" s="3">
        <v>5.9</v>
      </c>
      <c r="D156" s="4">
        <v>44742.0</v>
      </c>
      <c r="E156" s="1" t="s">
        <v>18</v>
      </c>
      <c r="F156" s="1">
        <v>7.2</v>
      </c>
      <c r="G156" s="1">
        <v>7.2</v>
      </c>
      <c r="H156" s="1">
        <v>5.8</v>
      </c>
      <c r="I156" s="1">
        <v>8.2</v>
      </c>
      <c r="J156" s="1">
        <v>5.6</v>
      </c>
      <c r="K156" s="1">
        <f t="shared" si="1"/>
        <v>6.8</v>
      </c>
      <c r="L156" s="5"/>
      <c r="N156" s="6">
        <f t="shared" si="7"/>
        <v>7.05</v>
      </c>
    </row>
    <row r="157">
      <c r="A157" s="1" t="s">
        <v>386</v>
      </c>
      <c r="B157" s="1" t="s">
        <v>40</v>
      </c>
      <c r="C157" s="3">
        <v>5.2</v>
      </c>
      <c r="D157" s="4">
        <v>44905.0</v>
      </c>
      <c r="E157" s="1" t="s">
        <v>387</v>
      </c>
      <c r="F157" s="1">
        <v>7.0</v>
      </c>
      <c r="G157" s="1">
        <v>7.2</v>
      </c>
      <c r="H157" s="1">
        <v>6.4</v>
      </c>
      <c r="I157" s="1">
        <v>6.7</v>
      </c>
      <c r="J157" s="1">
        <v>6.7</v>
      </c>
      <c r="K157" s="1">
        <f t="shared" si="1"/>
        <v>6.8</v>
      </c>
      <c r="L157" s="7" t="s">
        <v>388</v>
      </c>
      <c r="N157" s="6">
        <f t="shared" si="7"/>
        <v>6.9</v>
      </c>
    </row>
    <row r="158">
      <c r="A158" s="1" t="s">
        <v>389</v>
      </c>
      <c r="B158" s="1" t="s">
        <v>40</v>
      </c>
      <c r="C158" s="3">
        <v>5.9</v>
      </c>
      <c r="D158" s="4">
        <v>45373.0</v>
      </c>
      <c r="E158" s="1" t="s">
        <v>390</v>
      </c>
      <c r="F158" s="1">
        <v>7.3</v>
      </c>
      <c r="G158" s="1">
        <v>6.5</v>
      </c>
      <c r="H158" s="1">
        <v>6.3</v>
      </c>
      <c r="I158" s="1">
        <v>6.9</v>
      </c>
      <c r="J158" s="1">
        <v>7.0</v>
      </c>
      <c r="K158" s="1">
        <f t="shared" si="1"/>
        <v>6.8</v>
      </c>
      <c r="L158" s="7" t="s">
        <v>391</v>
      </c>
      <c r="N158" s="6">
        <f t="shared" si="7"/>
        <v>6.925</v>
      </c>
    </row>
    <row r="159">
      <c r="A159" s="1" t="s">
        <v>392</v>
      </c>
      <c r="B159" s="1" t="s">
        <v>15</v>
      </c>
      <c r="C159" s="3">
        <v>6.2</v>
      </c>
      <c r="D159" s="4" t="s">
        <v>20</v>
      </c>
      <c r="E159" s="1" t="s">
        <v>214</v>
      </c>
      <c r="F159" s="1">
        <v>6.7</v>
      </c>
      <c r="G159" s="1">
        <v>6.9</v>
      </c>
      <c r="H159" s="1">
        <v>6.0</v>
      </c>
      <c r="I159" s="1">
        <v>7.1</v>
      </c>
      <c r="J159" s="1">
        <v>7.3</v>
      </c>
      <c r="K159" s="1">
        <f t="shared" si="1"/>
        <v>6.8</v>
      </c>
      <c r="L159" s="5"/>
      <c r="N159" s="6">
        <f t="shared" si="7"/>
        <v>7</v>
      </c>
    </row>
    <row r="160">
      <c r="A160" s="1" t="s">
        <v>393</v>
      </c>
      <c r="B160" s="3" t="s">
        <v>40</v>
      </c>
      <c r="C160" s="3">
        <v>5.2</v>
      </c>
      <c r="D160" s="9" t="s">
        <v>20</v>
      </c>
      <c r="E160" s="1" t="s">
        <v>394</v>
      </c>
      <c r="F160" s="1">
        <v>7.5</v>
      </c>
      <c r="G160" s="1">
        <v>7.3</v>
      </c>
      <c r="H160" s="1">
        <v>5.5</v>
      </c>
      <c r="I160" s="1">
        <v>7.2</v>
      </c>
      <c r="J160" s="1">
        <v>6.5</v>
      </c>
      <c r="K160" s="1">
        <f t="shared" si="1"/>
        <v>6.8</v>
      </c>
      <c r="L160" s="7" t="s">
        <v>395</v>
      </c>
      <c r="N160" s="6">
        <f t="shared" si="7"/>
        <v>7.125</v>
      </c>
    </row>
    <row r="161">
      <c r="A161" s="1" t="s">
        <v>396</v>
      </c>
      <c r="B161" s="1" t="s">
        <v>24</v>
      </c>
      <c r="C161" s="3">
        <v>5.8</v>
      </c>
      <c r="D161" s="4">
        <v>44755.0</v>
      </c>
      <c r="E161" s="1" t="s">
        <v>16</v>
      </c>
      <c r="F161" s="1">
        <v>7.5</v>
      </c>
      <c r="G161" s="1">
        <v>7.2</v>
      </c>
      <c r="H161" s="1">
        <v>6.5</v>
      </c>
      <c r="I161" s="1">
        <v>5.1</v>
      </c>
      <c r="J161" s="1">
        <v>7.5</v>
      </c>
      <c r="K161" s="1">
        <f t="shared" si="1"/>
        <v>6.76</v>
      </c>
      <c r="L161" s="5"/>
      <c r="N161" s="6">
        <f t="shared" si="7"/>
        <v>6.825</v>
      </c>
    </row>
    <row r="162">
      <c r="A162" s="1" t="s">
        <v>397</v>
      </c>
      <c r="B162" s="1" t="s">
        <v>36</v>
      </c>
      <c r="C162" s="3">
        <v>5.75</v>
      </c>
      <c r="D162" s="4">
        <v>45326.0</v>
      </c>
      <c r="E162" s="1" t="s">
        <v>292</v>
      </c>
      <c r="F162" s="1">
        <v>6.9</v>
      </c>
      <c r="G162" s="1">
        <v>6.7</v>
      </c>
      <c r="H162" s="1">
        <v>6.4</v>
      </c>
      <c r="I162" s="1">
        <v>7.7</v>
      </c>
      <c r="J162" s="1">
        <v>6.0</v>
      </c>
      <c r="K162" s="1">
        <f t="shared" si="1"/>
        <v>6.74</v>
      </c>
      <c r="L162" s="7" t="s">
        <v>398</v>
      </c>
      <c r="N162" s="6">
        <f t="shared" si="7"/>
        <v>6.825</v>
      </c>
    </row>
    <row r="163">
      <c r="A163" s="1" t="s">
        <v>399</v>
      </c>
      <c r="B163" s="1" t="s">
        <v>24</v>
      </c>
      <c r="C163" s="3">
        <v>6.8</v>
      </c>
      <c r="D163" s="4">
        <v>45988.0</v>
      </c>
      <c r="E163" s="1" t="s">
        <v>400</v>
      </c>
      <c r="F163" s="1">
        <v>7.1</v>
      </c>
      <c r="G163" s="1">
        <v>6.4</v>
      </c>
      <c r="H163" s="1">
        <v>7.6</v>
      </c>
      <c r="I163" s="1">
        <v>6.5</v>
      </c>
      <c r="J163" s="1">
        <v>6.1</v>
      </c>
      <c r="K163" s="1">
        <f t="shared" si="1"/>
        <v>6.74</v>
      </c>
      <c r="L163" s="7" t="s">
        <v>401</v>
      </c>
      <c r="M163" s="1" t="s">
        <v>48</v>
      </c>
    </row>
    <row r="164">
      <c r="A164" s="1" t="s">
        <v>402</v>
      </c>
      <c r="B164" s="1" t="s">
        <v>36</v>
      </c>
      <c r="C164" s="3">
        <v>5.7</v>
      </c>
      <c r="D164" s="4">
        <v>44878.0</v>
      </c>
      <c r="E164" s="1" t="s">
        <v>80</v>
      </c>
      <c r="F164" s="1">
        <v>7.2</v>
      </c>
      <c r="G164" s="1">
        <v>6.9</v>
      </c>
      <c r="H164" s="1">
        <v>5.6</v>
      </c>
      <c r="I164" s="1">
        <v>6.9</v>
      </c>
      <c r="J164" s="1">
        <v>7.0</v>
      </c>
      <c r="K164" s="1">
        <f t="shared" si="1"/>
        <v>6.72</v>
      </c>
      <c r="L164" s="5"/>
      <c r="N164" s="6">
        <f t="shared" ref="N164:N165" si="8">AVERAGE(F164,G164,I164,J164)</f>
        <v>7</v>
      </c>
    </row>
    <row r="165">
      <c r="A165" s="1" t="s">
        <v>403</v>
      </c>
      <c r="B165" s="1" t="s">
        <v>15</v>
      </c>
      <c r="C165" s="3">
        <v>6.8</v>
      </c>
      <c r="D165" s="4">
        <v>45486.0</v>
      </c>
      <c r="E165" s="1" t="s">
        <v>404</v>
      </c>
      <c r="F165" s="1">
        <v>6.8</v>
      </c>
      <c r="G165" s="1">
        <v>7.1</v>
      </c>
      <c r="H165" s="1">
        <v>6.2</v>
      </c>
      <c r="I165" s="1">
        <v>7.8</v>
      </c>
      <c r="J165" s="1">
        <v>5.7</v>
      </c>
      <c r="K165" s="1">
        <f t="shared" si="1"/>
        <v>6.72</v>
      </c>
      <c r="L165" s="7" t="s">
        <v>405</v>
      </c>
      <c r="N165" s="6">
        <f t="shared" si="8"/>
        <v>6.85</v>
      </c>
    </row>
    <row r="166">
      <c r="A166" s="1" t="s">
        <v>406</v>
      </c>
      <c r="B166" s="1" t="s">
        <v>40</v>
      </c>
      <c r="C166" s="3">
        <v>6.0</v>
      </c>
      <c r="D166" s="4">
        <v>45977.0</v>
      </c>
      <c r="E166" s="1" t="s">
        <v>46</v>
      </c>
      <c r="F166" s="1">
        <v>7.0</v>
      </c>
      <c r="G166" s="1">
        <v>6.5</v>
      </c>
      <c r="H166" s="1">
        <v>6.6</v>
      </c>
      <c r="I166" s="1">
        <v>7.6</v>
      </c>
      <c r="J166" s="1">
        <v>5.9</v>
      </c>
      <c r="K166" s="1">
        <f t="shared" si="1"/>
        <v>6.72</v>
      </c>
      <c r="L166" s="7" t="s">
        <v>407</v>
      </c>
      <c r="M166" s="1" t="s">
        <v>48</v>
      </c>
    </row>
    <row r="167">
      <c r="A167" s="1" t="s">
        <v>408</v>
      </c>
      <c r="B167" s="1" t="s">
        <v>36</v>
      </c>
      <c r="C167" s="3">
        <v>5.7</v>
      </c>
      <c r="D167" s="4" t="s">
        <v>20</v>
      </c>
      <c r="E167" s="1" t="s">
        <v>37</v>
      </c>
      <c r="F167" s="1">
        <v>6.4</v>
      </c>
      <c r="G167" s="1">
        <v>6.6</v>
      </c>
      <c r="H167" s="1">
        <v>6.8</v>
      </c>
      <c r="I167" s="1">
        <v>7.5</v>
      </c>
      <c r="J167" s="1">
        <v>6.3</v>
      </c>
      <c r="K167" s="1">
        <f t="shared" si="1"/>
        <v>6.72</v>
      </c>
      <c r="L167" s="7" t="s">
        <v>409</v>
      </c>
      <c r="N167" s="6">
        <f t="shared" ref="N167:N201" si="9">AVERAGE(F167,G167,I167,J167)</f>
        <v>6.7</v>
      </c>
    </row>
    <row r="168">
      <c r="A168" s="1" t="s">
        <v>410</v>
      </c>
      <c r="B168" s="1" t="s">
        <v>24</v>
      </c>
      <c r="C168" s="1" t="s">
        <v>20</v>
      </c>
      <c r="D168" s="4" t="s">
        <v>20</v>
      </c>
      <c r="E168" s="1" t="s">
        <v>108</v>
      </c>
      <c r="F168" s="1">
        <v>6.3</v>
      </c>
      <c r="G168" s="1">
        <v>4.5</v>
      </c>
      <c r="H168" s="1">
        <v>7.3</v>
      </c>
      <c r="I168" s="1">
        <v>7.8</v>
      </c>
      <c r="J168" s="1">
        <v>7.6</v>
      </c>
      <c r="K168" s="1">
        <f t="shared" si="1"/>
        <v>6.7</v>
      </c>
      <c r="L168" s="7" t="s">
        <v>411</v>
      </c>
      <c r="N168" s="6">
        <f t="shared" si="9"/>
        <v>6.55</v>
      </c>
    </row>
    <row r="169">
      <c r="A169" s="1" t="s">
        <v>412</v>
      </c>
      <c r="B169" s="1" t="s">
        <v>15</v>
      </c>
      <c r="C169" s="3">
        <v>7.6</v>
      </c>
      <c r="D169" s="4">
        <v>45969.0</v>
      </c>
      <c r="E169" s="1" t="s">
        <v>280</v>
      </c>
      <c r="F169" s="1">
        <v>6.1</v>
      </c>
      <c r="G169" s="1">
        <v>6.1</v>
      </c>
      <c r="H169" s="1">
        <v>5.0</v>
      </c>
      <c r="I169" s="1">
        <v>7.8</v>
      </c>
      <c r="J169" s="1">
        <v>8.2</v>
      </c>
      <c r="K169" s="1">
        <f t="shared" si="1"/>
        <v>6.64</v>
      </c>
      <c r="L169" s="7" t="s">
        <v>413</v>
      </c>
      <c r="M169" s="1" t="s">
        <v>48</v>
      </c>
      <c r="N169" s="6">
        <f t="shared" si="9"/>
        <v>7.05</v>
      </c>
    </row>
    <row r="170">
      <c r="A170" s="1" t="s">
        <v>414</v>
      </c>
      <c r="B170" s="1" t="s">
        <v>15</v>
      </c>
      <c r="C170" s="3">
        <v>7.25</v>
      </c>
      <c r="D170" s="4">
        <v>45969.0</v>
      </c>
      <c r="E170" s="1" t="s">
        <v>280</v>
      </c>
      <c r="F170" s="1">
        <v>6.5</v>
      </c>
      <c r="G170" s="1">
        <v>6.8</v>
      </c>
      <c r="H170" s="1">
        <v>6.3</v>
      </c>
      <c r="I170" s="1">
        <v>7.8</v>
      </c>
      <c r="J170" s="1">
        <v>5.8</v>
      </c>
      <c r="K170" s="1">
        <f t="shared" si="1"/>
        <v>6.64</v>
      </c>
      <c r="L170" s="7" t="s">
        <v>415</v>
      </c>
      <c r="M170" s="1" t="s">
        <v>48</v>
      </c>
      <c r="N170" s="6">
        <f t="shared" si="9"/>
        <v>6.725</v>
      </c>
    </row>
    <row r="171">
      <c r="A171" s="1" t="s">
        <v>416</v>
      </c>
      <c r="B171" s="1" t="s">
        <v>15</v>
      </c>
      <c r="C171" s="3">
        <v>7.2</v>
      </c>
      <c r="D171" s="4">
        <v>45969.0</v>
      </c>
      <c r="E171" s="1" t="s">
        <v>417</v>
      </c>
      <c r="F171" s="1">
        <v>6.2</v>
      </c>
      <c r="G171" s="1">
        <v>6.4</v>
      </c>
      <c r="H171" s="1">
        <v>4.8</v>
      </c>
      <c r="I171" s="1">
        <v>7.3</v>
      </c>
      <c r="J171" s="1">
        <v>8.4</v>
      </c>
      <c r="K171" s="1">
        <f t="shared" si="1"/>
        <v>6.62</v>
      </c>
      <c r="L171" s="7" t="s">
        <v>418</v>
      </c>
      <c r="M171" s="1" t="s">
        <v>48</v>
      </c>
      <c r="N171" s="6">
        <f t="shared" si="9"/>
        <v>7.075</v>
      </c>
    </row>
    <row r="172">
      <c r="A172" s="1" t="s">
        <v>419</v>
      </c>
      <c r="B172" s="1" t="s">
        <v>15</v>
      </c>
      <c r="C172" s="3">
        <v>5.8</v>
      </c>
      <c r="D172" s="4">
        <v>44918.0</v>
      </c>
      <c r="E172" s="1" t="s">
        <v>420</v>
      </c>
      <c r="F172" s="1">
        <v>6.3</v>
      </c>
      <c r="G172" s="1">
        <v>6.4</v>
      </c>
      <c r="H172" s="1">
        <v>6.7</v>
      </c>
      <c r="I172" s="1">
        <v>6.8</v>
      </c>
      <c r="J172" s="1">
        <v>6.7</v>
      </c>
      <c r="K172" s="1">
        <f t="shared" si="1"/>
        <v>6.58</v>
      </c>
      <c r="L172" s="7" t="s">
        <v>421</v>
      </c>
      <c r="N172" s="6">
        <f t="shared" si="9"/>
        <v>6.55</v>
      </c>
    </row>
    <row r="173">
      <c r="A173" s="1" t="s">
        <v>422</v>
      </c>
      <c r="B173" s="3" t="s">
        <v>40</v>
      </c>
      <c r="C173" s="3">
        <v>5.8</v>
      </c>
      <c r="D173" s="4">
        <v>44813.0</v>
      </c>
      <c r="E173" s="1" t="s">
        <v>423</v>
      </c>
      <c r="F173" s="1">
        <v>6.5</v>
      </c>
      <c r="G173" s="1">
        <v>6.4</v>
      </c>
      <c r="H173" s="1">
        <v>5.4</v>
      </c>
      <c r="I173" s="1">
        <v>6.9</v>
      </c>
      <c r="J173" s="1">
        <v>7.6</v>
      </c>
      <c r="K173" s="1">
        <f t="shared" si="1"/>
        <v>6.56</v>
      </c>
      <c r="L173" s="5"/>
      <c r="N173" s="6">
        <f t="shared" si="9"/>
        <v>6.85</v>
      </c>
    </row>
    <row r="174">
      <c r="A174" s="1" t="s">
        <v>424</v>
      </c>
      <c r="B174" s="1" t="s">
        <v>15</v>
      </c>
      <c r="C174" s="3">
        <v>6.5</v>
      </c>
      <c r="D174" s="4">
        <v>45417.0</v>
      </c>
      <c r="E174" s="1" t="s">
        <v>425</v>
      </c>
      <c r="F174" s="1">
        <v>7.3</v>
      </c>
      <c r="G174" s="1">
        <v>6.8</v>
      </c>
      <c r="H174" s="1">
        <v>5.6</v>
      </c>
      <c r="I174" s="1">
        <v>6.4</v>
      </c>
      <c r="J174" s="1">
        <v>6.7</v>
      </c>
      <c r="K174" s="1">
        <f t="shared" si="1"/>
        <v>6.56</v>
      </c>
      <c r="L174" s="5"/>
      <c r="N174" s="6">
        <f t="shared" si="9"/>
        <v>6.8</v>
      </c>
    </row>
    <row r="175">
      <c r="A175" s="1" t="s">
        <v>426</v>
      </c>
      <c r="B175" s="1" t="s">
        <v>15</v>
      </c>
      <c r="C175" s="3">
        <v>5.9</v>
      </c>
      <c r="D175" s="4">
        <v>44765.0</v>
      </c>
      <c r="E175" s="1" t="s">
        <v>427</v>
      </c>
      <c r="F175" s="1">
        <v>6.6</v>
      </c>
      <c r="G175" s="1">
        <v>6.7</v>
      </c>
      <c r="H175" s="1">
        <v>5.6</v>
      </c>
      <c r="I175" s="1">
        <v>6.6</v>
      </c>
      <c r="J175" s="1">
        <v>7.3</v>
      </c>
      <c r="K175" s="1">
        <f t="shared" si="1"/>
        <v>6.56</v>
      </c>
      <c r="L175" s="5"/>
      <c r="N175" s="6">
        <f t="shared" si="9"/>
        <v>6.8</v>
      </c>
    </row>
    <row r="176">
      <c r="A176" s="1" t="s">
        <v>428</v>
      </c>
      <c r="B176" s="3" t="s">
        <v>24</v>
      </c>
      <c r="C176" s="3">
        <v>6.0</v>
      </c>
      <c r="D176" s="4">
        <v>45569.0</v>
      </c>
      <c r="E176" s="1" t="s">
        <v>429</v>
      </c>
      <c r="F176" s="1">
        <v>6.8</v>
      </c>
      <c r="G176" s="1">
        <v>6.8</v>
      </c>
      <c r="H176" s="1">
        <v>6.0</v>
      </c>
      <c r="I176" s="1">
        <v>6.9</v>
      </c>
      <c r="J176" s="1">
        <v>6.2</v>
      </c>
      <c r="K176" s="1">
        <f t="shared" si="1"/>
        <v>6.54</v>
      </c>
      <c r="L176" s="7" t="s">
        <v>430</v>
      </c>
      <c r="N176" s="6">
        <f t="shared" si="9"/>
        <v>6.675</v>
      </c>
    </row>
    <row r="177">
      <c r="A177" s="1" t="s">
        <v>431</v>
      </c>
      <c r="B177" s="1" t="s">
        <v>24</v>
      </c>
      <c r="C177" s="3">
        <v>6.8</v>
      </c>
      <c r="D177" s="4">
        <v>45598.0</v>
      </c>
      <c r="E177" s="1" t="s">
        <v>432</v>
      </c>
      <c r="F177" s="1">
        <v>6.4</v>
      </c>
      <c r="G177" s="1">
        <v>6.4</v>
      </c>
      <c r="H177" s="1">
        <v>5.6</v>
      </c>
      <c r="I177" s="1">
        <v>7.3</v>
      </c>
      <c r="J177" s="1">
        <v>7.0</v>
      </c>
      <c r="K177" s="1">
        <f t="shared" si="1"/>
        <v>6.54</v>
      </c>
      <c r="L177" s="7"/>
      <c r="M177" s="1" t="s">
        <v>176</v>
      </c>
      <c r="N177" s="6">
        <f t="shared" si="9"/>
        <v>6.775</v>
      </c>
    </row>
    <row r="178">
      <c r="A178" s="1" t="s">
        <v>433</v>
      </c>
      <c r="B178" s="1" t="s">
        <v>40</v>
      </c>
      <c r="C178" s="3">
        <v>6.0</v>
      </c>
      <c r="D178" s="4">
        <v>44918.0</v>
      </c>
      <c r="E178" s="1" t="s">
        <v>162</v>
      </c>
      <c r="F178" s="1">
        <v>6.4</v>
      </c>
      <c r="G178" s="1">
        <v>6.5</v>
      </c>
      <c r="H178" s="1">
        <v>5.0</v>
      </c>
      <c r="I178" s="1">
        <v>7.7</v>
      </c>
      <c r="J178" s="1">
        <v>7.1</v>
      </c>
      <c r="K178" s="1">
        <f t="shared" si="1"/>
        <v>6.54</v>
      </c>
      <c r="L178" s="7" t="s">
        <v>434</v>
      </c>
      <c r="N178" s="6">
        <f t="shared" si="9"/>
        <v>6.925</v>
      </c>
    </row>
    <row r="179">
      <c r="A179" s="1" t="s">
        <v>435</v>
      </c>
      <c r="B179" s="1" t="s">
        <v>36</v>
      </c>
      <c r="C179" s="3">
        <v>6.8</v>
      </c>
      <c r="D179" s="4">
        <v>45644.0</v>
      </c>
      <c r="E179" s="1" t="s">
        <v>436</v>
      </c>
      <c r="F179" s="1">
        <v>6.7</v>
      </c>
      <c r="G179" s="1">
        <v>6.9</v>
      </c>
      <c r="H179" s="1">
        <v>7.0</v>
      </c>
      <c r="I179" s="1">
        <v>7.5</v>
      </c>
      <c r="J179" s="1">
        <v>4.5</v>
      </c>
      <c r="K179" s="1">
        <f t="shared" si="1"/>
        <v>6.52</v>
      </c>
      <c r="L179" s="7" t="s">
        <v>437</v>
      </c>
      <c r="M179" s="1" t="s">
        <v>176</v>
      </c>
      <c r="N179" s="6">
        <f t="shared" si="9"/>
        <v>6.4</v>
      </c>
    </row>
    <row r="180">
      <c r="A180" s="1" t="s">
        <v>438</v>
      </c>
      <c r="B180" s="1" t="s">
        <v>36</v>
      </c>
      <c r="C180" s="12">
        <v>6.0</v>
      </c>
      <c r="D180" s="4">
        <v>44878.0</v>
      </c>
      <c r="E180" s="1" t="s">
        <v>439</v>
      </c>
      <c r="F180" s="1">
        <v>6.3</v>
      </c>
      <c r="G180" s="1">
        <v>6.4</v>
      </c>
      <c r="H180" s="1">
        <v>5.9</v>
      </c>
      <c r="I180" s="1">
        <v>5.9</v>
      </c>
      <c r="J180" s="1">
        <v>8.0</v>
      </c>
      <c r="K180" s="1">
        <f t="shared" si="1"/>
        <v>6.5</v>
      </c>
      <c r="L180" s="5"/>
      <c r="N180" s="6">
        <f t="shared" si="9"/>
        <v>6.65</v>
      </c>
    </row>
    <row r="181">
      <c r="A181" s="1" t="s">
        <v>440</v>
      </c>
      <c r="B181" s="1" t="s">
        <v>40</v>
      </c>
      <c r="C181" s="3">
        <v>5.5</v>
      </c>
      <c r="D181" s="9" t="s">
        <v>20</v>
      </c>
      <c r="E181" s="1" t="s">
        <v>394</v>
      </c>
      <c r="F181" s="1">
        <v>6.8</v>
      </c>
      <c r="G181" s="1">
        <v>6.6</v>
      </c>
      <c r="H181" s="1">
        <v>6.4</v>
      </c>
      <c r="I181" s="1">
        <v>7.4</v>
      </c>
      <c r="J181" s="1">
        <v>5.3</v>
      </c>
      <c r="K181" s="1">
        <f t="shared" si="1"/>
        <v>6.5</v>
      </c>
      <c r="L181" s="7" t="s">
        <v>441</v>
      </c>
      <c r="N181" s="6">
        <f t="shared" si="9"/>
        <v>6.525</v>
      </c>
    </row>
    <row r="182">
      <c r="A182" s="1" t="s">
        <v>442</v>
      </c>
      <c r="B182" s="1" t="s">
        <v>15</v>
      </c>
      <c r="C182" s="3">
        <v>7.3</v>
      </c>
      <c r="D182" s="4">
        <v>45654.0</v>
      </c>
      <c r="E182" s="1" t="s">
        <v>443</v>
      </c>
      <c r="F182" s="1">
        <v>6.6</v>
      </c>
      <c r="G182" s="1">
        <v>6.6</v>
      </c>
      <c r="H182" s="1">
        <v>6.0</v>
      </c>
      <c r="I182" s="1">
        <v>6.9</v>
      </c>
      <c r="J182" s="1">
        <v>6.3</v>
      </c>
      <c r="K182" s="1">
        <f t="shared" si="1"/>
        <v>6.48</v>
      </c>
      <c r="L182" s="7" t="s">
        <v>444</v>
      </c>
      <c r="M182" s="1" t="s">
        <v>48</v>
      </c>
      <c r="N182" s="6">
        <f t="shared" si="9"/>
        <v>6.6</v>
      </c>
    </row>
    <row r="183">
      <c r="A183" s="1" t="s">
        <v>445</v>
      </c>
      <c r="B183" s="1" t="s">
        <v>15</v>
      </c>
      <c r="C183" s="3">
        <v>6.5</v>
      </c>
      <c r="D183" s="4">
        <v>45633.0</v>
      </c>
      <c r="E183" s="1" t="s">
        <v>446</v>
      </c>
      <c r="F183" s="1">
        <v>7.1</v>
      </c>
      <c r="G183" s="1">
        <v>6.4</v>
      </c>
      <c r="H183" s="1">
        <v>6.0</v>
      </c>
      <c r="I183" s="1">
        <v>6.3</v>
      </c>
      <c r="J183" s="1">
        <v>6.4</v>
      </c>
      <c r="K183" s="1">
        <f t="shared" si="1"/>
        <v>6.44</v>
      </c>
      <c r="L183" s="7" t="s">
        <v>447</v>
      </c>
      <c r="M183" s="1" t="s">
        <v>176</v>
      </c>
      <c r="N183" s="6">
        <f t="shared" si="9"/>
        <v>6.55</v>
      </c>
    </row>
    <row r="184">
      <c r="A184" s="1" t="s">
        <v>448</v>
      </c>
      <c r="B184" s="1" t="s">
        <v>15</v>
      </c>
      <c r="C184" s="3">
        <v>5.6</v>
      </c>
      <c r="D184" s="4">
        <v>44742.0</v>
      </c>
      <c r="E184" s="1" t="s">
        <v>174</v>
      </c>
      <c r="F184" s="1">
        <v>7.2</v>
      </c>
      <c r="G184" s="1">
        <v>7.0</v>
      </c>
      <c r="H184" s="1">
        <v>6.7</v>
      </c>
      <c r="I184" s="1">
        <v>6.4</v>
      </c>
      <c r="J184" s="1">
        <v>4.8</v>
      </c>
      <c r="K184" s="1">
        <f t="shared" si="1"/>
        <v>6.42</v>
      </c>
      <c r="L184" s="5"/>
      <c r="N184" s="6">
        <f t="shared" si="9"/>
        <v>6.35</v>
      </c>
    </row>
    <row r="185">
      <c r="A185" s="1" t="s">
        <v>449</v>
      </c>
      <c r="B185" s="1" t="s">
        <v>40</v>
      </c>
      <c r="C185" s="3" t="s">
        <v>20</v>
      </c>
      <c r="D185" s="4">
        <v>45270.0</v>
      </c>
      <c r="E185" s="1" t="s">
        <v>450</v>
      </c>
      <c r="F185" s="1">
        <v>7.0</v>
      </c>
      <c r="G185" s="1">
        <v>6.6</v>
      </c>
      <c r="H185" s="1">
        <v>6.7</v>
      </c>
      <c r="I185" s="1">
        <v>7.7</v>
      </c>
      <c r="J185" s="1">
        <v>4.0</v>
      </c>
      <c r="K185" s="1">
        <f t="shared" si="1"/>
        <v>6.4</v>
      </c>
      <c r="L185" s="5"/>
      <c r="N185" s="6">
        <f t="shared" si="9"/>
        <v>6.325</v>
      </c>
    </row>
    <row r="186">
      <c r="A186" s="1" t="s">
        <v>451</v>
      </c>
      <c r="B186" s="1" t="s">
        <v>24</v>
      </c>
      <c r="C186" s="3" t="s">
        <v>20</v>
      </c>
      <c r="D186" s="4">
        <v>45654.0</v>
      </c>
      <c r="E186" s="1" t="s">
        <v>452</v>
      </c>
      <c r="F186" s="1">
        <v>6.3</v>
      </c>
      <c r="G186" s="1">
        <v>6.7</v>
      </c>
      <c r="H186" s="1">
        <v>4.8</v>
      </c>
      <c r="I186" s="1">
        <v>6.5</v>
      </c>
      <c r="J186" s="1">
        <v>7.6</v>
      </c>
      <c r="K186" s="1">
        <f t="shared" si="1"/>
        <v>6.38</v>
      </c>
      <c r="L186" s="7" t="s">
        <v>453</v>
      </c>
      <c r="M186" s="1" t="s">
        <v>48</v>
      </c>
      <c r="N186" s="6">
        <f t="shared" si="9"/>
        <v>6.775</v>
      </c>
    </row>
    <row r="187">
      <c r="A187" s="1" t="s">
        <v>454</v>
      </c>
      <c r="B187" s="1" t="s">
        <v>36</v>
      </c>
      <c r="C187" s="3">
        <v>6.7</v>
      </c>
      <c r="D187" s="4">
        <v>45326.0</v>
      </c>
      <c r="E187" s="1" t="s">
        <v>455</v>
      </c>
      <c r="F187" s="1">
        <v>7.0</v>
      </c>
      <c r="G187" s="1">
        <v>6.4</v>
      </c>
      <c r="H187" s="1">
        <v>6.0</v>
      </c>
      <c r="I187" s="1">
        <v>7.0</v>
      </c>
      <c r="J187" s="1">
        <v>5.3</v>
      </c>
      <c r="K187" s="1">
        <f t="shared" si="1"/>
        <v>6.34</v>
      </c>
      <c r="L187" s="7" t="s">
        <v>456</v>
      </c>
      <c r="N187" s="6">
        <f t="shared" si="9"/>
        <v>6.425</v>
      </c>
    </row>
    <row r="188">
      <c r="A188" s="1" t="s">
        <v>457</v>
      </c>
      <c r="B188" s="1" t="s">
        <v>36</v>
      </c>
      <c r="C188" s="3">
        <v>5.6</v>
      </c>
      <c r="D188" s="4">
        <v>44878.0</v>
      </c>
      <c r="E188" s="1" t="s">
        <v>80</v>
      </c>
      <c r="F188" s="1">
        <v>5.9</v>
      </c>
      <c r="G188" s="1">
        <v>6.5</v>
      </c>
      <c r="H188" s="1">
        <v>4.0</v>
      </c>
      <c r="I188" s="1">
        <v>7.3</v>
      </c>
      <c r="J188" s="1">
        <v>7.8</v>
      </c>
      <c r="K188" s="1">
        <f t="shared" si="1"/>
        <v>6.3</v>
      </c>
      <c r="L188" s="5"/>
      <c r="N188" s="6">
        <f t="shared" si="9"/>
        <v>6.875</v>
      </c>
    </row>
    <row r="189">
      <c r="A189" s="1" t="s">
        <v>458</v>
      </c>
      <c r="B189" s="1" t="s">
        <v>15</v>
      </c>
      <c r="C189" s="3">
        <v>0.0</v>
      </c>
      <c r="D189" s="9" t="s">
        <v>20</v>
      </c>
      <c r="E189" s="1" t="s">
        <v>111</v>
      </c>
      <c r="F189" s="1">
        <v>7.2</v>
      </c>
      <c r="G189" s="1">
        <v>7.3</v>
      </c>
      <c r="H189" s="1">
        <v>6.0</v>
      </c>
      <c r="I189" s="1">
        <v>8.2</v>
      </c>
      <c r="J189" s="1">
        <v>2.8</v>
      </c>
      <c r="K189" s="1">
        <f t="shared" si="1"/>
        <v>6.3</v>
      </c>
      <c r="L189" s="7" t="s">
        <v>459</v>
      </c>
      <c r="N189" s="6">
        <f t="shared" si="9"/>
        <v>6.375</v>
      </c>
    </row>
    <row r="190">
      <c r="A190" s="1" t="s">
        <v>460</v>
      </c>
      <c r="B190" s="1" t="s">
        <v>36</v>
      </c>
      <c r="C190" s="3">
        <v>5.2</v>
      </c>
      <c r="D190" s="4">
        <v>44849.0</v>
      </c>
      <c r="E190" s="1" t="s">
        <v>461</v>
      </c>
      <c r="F190" s="1">
        <v>6.2</v>
      </c>
      <c r="G190" s="1">
        <v>6.1</v>
      </c>
      <c r="H190" s="1">
        <v>5.6</v>
      </c>
      <c r="I190" s="1">
        <v>7.2</v>
      </c>
      <c r="J190" s="1">
        <v>6.3</v>
      </c>
      <c r="K190" s="1">
        <f t="shared" si="1"/>
        <v>6.28</v>
      </c>
      <c r="L190" s="5"/>
      <c r="N190" s="6">
        <f t="shared" si="9"/>
        <v>6.45</v>
      </c>
    </row>
    <row r="191">
      <c r="A191" s="1" t="s">
        <v>462</v>
      </c>
      <c r="B191" s="1" t="s">
        <v>15</v>
      </c>
      <c r="C191" s="3">
        <v>6.2</v>
      </c>
      <c r="D191" s="4">
        <v>45618.0</v>
      </c>
      <c r="E191" s="1" t="s">
        <v>100</v>
      </c>
      <c r="F191" s="1">
        <v>5.9</v>
      </c>
      <c r="G191" s="1">
        <v>6.5</v>
      </c>
      <c r="H191" s="1">
        <v>5.7</v>
      </c>
      <c r="I191" s="1">
        <v>7.2</v>
      </c>
      <c r="J191" s="1">
        <v>6.0</v>
      </c>
      <c r="K191" s="1">
        <f t="shared" si="1"/>
        <v>6.26</v>
      </c>
      <c r="L191" s="7" t="s">
        <v>463</v>
      </c>
      <c r="M191" s="1" t="s">
        <v>176</v>
      </c>
      <c r="N191" s="6">
        <f t="shared" si="9"/>
        <v>6.4</v>
      </c>
    </row>
    <row r="192">
      <c r="A192" s="1" t="s">
        <v>464</v>
      </c>
      <c r="B192" s="1" t="s">
        <v>24</v>
      </c>
      <c r="C192" s="3">
        <v>6.2</v>
      </c>
      <c r="D192" s="4" t="s">
        <v>20</v>
      </c>
      <c r="E192" s="1" t="s">
        <v>288</v>
      </c>
      <c r="F192" s="1">
        <v>6.7</v>
      </c>
      <c r="G192" s="1">
        <v>6.6</v>
      </c>
      <c r="H192" s="1">
        <v>5.6</v>
      </c>
      <c r="I192" s="1">
        <v>7.4</v>
      </c>
      <c r="J192" s="1">
        <v>5.0</v>
      </c>
      <c r="K192" s="1">
        <f t="shared" si="1"/>
        <v>6.26</v>
      </c>
      <c r="L192" s="7" t="s">
        <v>465</v>
      </c>
      <c r="N192" s="6">
        <f t="shared" si="9"/>
        <v>6.425</v>
      </c>
    </row>
    <row r="193">
      <c r="A193" s="1" t="s">
        <v>466</v>
      </c>
      <c r="B193" s="3" t="s">
        <v>40</v>
      </c>
      <c r="C193" s="3">
        <v>5.7</v>
      </c>
      <c r="D193" s="4">
        <v>44737.0</v>
      </c>
      <c r="E193" s="1" t="s">
        <v>137</v>
      </c>
      <c r="F193" s="1">
        <v>7.0</v>
      </c>
      <c r="G193" s="1">
        <v>6.3</v>
      </c>
      <c r="H193" s="1">
        <v>6.0</v>
      </c>
      <c r="I193" s="1">
        <v>6.2</v>
      </c>
      <c r="J193" s="1">
        <v>5.5</v>
      </c>
      <c r="K193" s="1">
        <f t="shared" si="1"/>
        <v>6.2</v>
      </c>
      <c r="L193" s="7" t="s">
        <v>467</v>
      </c>
      <c r="N193" s="6">
        <f t="shared" si="9"/>
        <v>6.25</v>
      </c>
    </row>
    <row r="194">
      <c r="A194" s="1" t="s">
        <v>468</v>
      </c>
      <c r="B194" s="1" t="s">
        <v>15</v>
      </c>
      <c r="C194" s="1" t="s">
        <v>20</v>
      </c>
      <c r="D194" s="4" t="s">
        <v>20</v>
      </c>
      <c r="E194" s="1" t="s">
        <v>469</v>
      </c>
      <c r="F194" s="1">
        <v>6.5</v>
      </c>
      <c r="G194" s="1">
        <v>6.6</v>
      </c>
      <c r="H194" s="1">
        <v>3.2</v>
      </c>
      <c r="I194" s="1">
        <v>7.5</v>
      </c>
      <c r="J194" s="1">
        <v>6.6</v>
      </c>
      <c r="K194" s="1">
        <f t="shared" si="1"/>
        <v>6.08</v>
      </c>
      <c r="L194" s="7" t="s">
        <v>470</v>
      </c>
      <c r="N194" s="6">
        <f t="shared" si="9"/>
        <v>6.8</v>
      </c>
    </row>
    <row r="195">
      <c r="A195" s="1" t="s">
        <v>471</v>
      </c>
      <c r="B195" s="3" t="s">
        <v>40</v>
      </c>
      <c r="C195" s="3">
        <v>5.5</v>
      </c>
      <c r="D195" s="4">
        <v>44737.0</v>
      </c>
      <c r="E195" s="1" t="s">
        <v>205</v>
      </c>
      <c r="F195" s="1">
        <v>5.6</v>
      </c>
      <c r="G195" s="1">
        <v>6.6</v>
      </c>
      <c r="H195" s="1">
        <v>7.1</v>
      </c>
      <c r="I195" s="1">
        <v>6.3</v>
      </c>
      <c r="J195" s="1">
        <v>4.4</v>
      </c>
      <c r="K195" s="1">
        <f t="shared" si="1"/>
        <v>6</v>
      </c>
      <c r="L195" s="7" t="s">
        <v>472</v>
      </c>
      <c r="N195" s="6">
        <f t="shared" si="9"/>
        <v>5.725</v>
      </c>
    </row>
    <row r="196">
      <c r="A196" s="1" t="s">
        <v>473</v>
      </c>
      <c r="B196" s="1" t="s">
        <v>15</v>
      </c>
      <c r="C196" s="3">
        <v>6.5</v>
      </c>
      <c r="D196" s="4">
        <v>45696.0</v>
      </c>
      <c r="E196" s="1" t="s">
        <v>474</v>
      </c>
      <c r="F196" s="1">
        <v>5.9</v>
      </c>
      <c r="G196" s="1">
        <v>5.3</v>
      </c>
      <c r="H196" s="1">
        <v>5.9</v>
      </c>
      <c r="I196" s="1">
        <v>6.5</v>
      </c>
      <c r="J196" s="1">
        <v>5.8</v>
      </c>
      <c r="K196" s="1">
        <f t="shared" si="1"/>
        <v>5.88</v>
      </c>
      <c r="L196" s="7" t="s">
        <v>475</v>
      </c>
      <c r="M196" s="1" t="s">
        <v>176</v>
      </c>
      <c r="N196" s="6">
        <f t="shared" si="9"/>
        <v>5.875</v>
      </c>
    </row>
    <row r="197">
      <c r="A197" s="1" t="s">
        <v>476</v>
      </c>
      <c r="B197" s="1" t="s">
        <v>15</v>
      </c>
      <c r="C197" s="3">
        <v>5.9</v>
      </c>
      <c r="D197" s="4">
        <v>45687.0</v>
      </c>
      <c r="E197" s="1" t="s">
        <v>477</v>
      </c>
      <c r="F197" s="1">
        <v>6.2</v>
      </c>
      <c r="G197" s="1">
        <v>5.7</v>
      </c>
      <c r="H197" s="1">
        <v>4.9</v>
      </c>
      <c r="I197" s="1">
        <v>6.9</v>
      </c>
      <c r="J197" s="1">
        <v>5.5</v>
      </c>
      <c r="K197" s="1">
        <f t="shared" si="1"/>
        <v>5.84</v>
      </c>
      <c r="L197" s="7"/>
      <c r="M197" s="1" t="s">
        <v>176</v>
      </c>
      <c r="N197" s="6">
        <f t="shared" si="9"/>
        <v>6.075</v>
      </c>
    </row>
    <row r="198">
      <c r="A198" s="1" t="s">
        <v>478</v>
      </c>
      <c r="B198" s="1" t="s">
        <v>36</v>
      </c>
      <c r="C198" s="3">
        <v>5.8</v>
      </c>
      <c r="D198" s="4">
        <v>44878.0</v>
      </c>
      <c r="E198" s="1" t="s">
        <v>80</v>
      </c>
      <c r="F198" s="1">
        <v>5.2</v>
      </c>
      <c r="G198" s="1">
        <v>5.4</v>
      </c>
      <c r="H198" s="1">
        <v>4.8</v>
      </c>
      <c r="I198" s="1">
        <v>6.1</v>
      </c>
      <c r="J198" s="1">
        <v>7.7</v>
      </c>
      <c r="K198" s="1">
        <f t="shared" si="1"/>
        <v>5.84</v>
      </c>
      <c r="L198" s="5"/>
      <c r="N198" s="6">
        <f t="shared" si="9"/>
        <v>6.1</v>
      </c>
    </row>
    <row r="199">
      <c r="A199" s="1" t="s">
        <v>479</v>
      </c>
      <c r="B199" s="1" t="s">
        <v>15</v>
      </c>
      <c r="C199" s="3">
        <v>5.9</v>
      </c>
      <c r="D199" s="4">
        <v>44856.0</v>
      </c>
      <c r="E199" s="1" t="s">
        <v>480</v>
      </c>
      <c r="F199" s="1">
        <v>6.3</v>
      </c>
      <c r="G199" s="1">
        <v>6.0</v>
      </c>
      <c r="H199" s="1">
        <v>6.7</v>
      </c>
      <c r="I199" s="1">
        <v>5.0</v>
      </c>
      <c r="J199" s="1">
        <v>5.0</v>
      </c>
      <c r="K199" s="1">
        <f t="shared" si="1"/>
        <v>5.8</v>
      </c>
      <c r="L199" s="5"/>
      <c r="N199" s="6">
        <f t="shared" si="9"/>
        <v>5.575</v>
      </c>
    </row>
    <row r="200">
      <c r="A200" s="1" t="s">
        <v>481</v>
      </c>
      <c r="B200" s="3" t="s">
        <v>24</v>
      </c>
      <c r="C200" s="3">
        <v>6.6</v>
      </c>
      <c r="D200" s="4">
        <v>45968.0</v>
      </c>
      <c r="E200" s="1" t="s">
        <v>482</v>
      </c>
      <c r="F200" s="1">
        <v>7.2</v>
      </c>
      <c r="G200" s="1">
        <v>5.8</v>
      </c>
      <c r="H200" s="1">
        <v>5.4</v>
      </c>
      <c r="I200" s="1">
        <v>4.5</v>
      </c>
      <c r="J200" s="1">
        <v>5.6</v>
      </c>
      <c r="K200" s="1">
        <f t="shared" si="1"/>
        <v>5.7</v>
      </c>
      <c r="L200" s="5"/>
      <c r="N200" s="6">
        <f t="shared" si="9"/>
        <v>5.775</v>
      </c>
    </row>
    <row r="201">
      <c r="A201" s="1" t="s">
        <v>483</v>
      </c>
      <c r="B201" s="1" t="s">
        <v>15</v>
      </c>
      <c r="C201" s="3">
        <v>6.5</v>
      </c>
      <c r="D201" s="4">
        <v>45332.0</v>
      </c>
      <c r="E201" s="1" t="s">
        <v>484</v>
      </c>
      <c r="F201" s="1">
        <v>6.7</v>
      </c>
      <c r="G201" s="1">
        <v>5.8</v>
      </c>
      <c r="H201" s="1">
        <v>3.1</v>
      </c>
      <c r="I201" s="1">
        <v>7.2</v>
      </c>
      <c r="J201" s="1">
        <v>5.5</v>
      </c>
      <c r="K201" s="1">
        <f t="shared" si="1"/>
        <v>5.66</v>
      </c>
      <c r="L201" s="5"/>
      <c r="N201" s="6">
        <f t="shared" si="9"/>
        <v>6.3</v>
      </c>
    </row>
    <row r="202">
      <c r="A202" s="1" t="s">
        <v>485</v>
      </c>
      <c r="B202" s="1" t="s">
        <v>40</v>
      </c>
      <c r="C202" s="3">
        <v>6.8</v>
      </c>
      <c r="D202" s="4">
        <v>45977.0</v>
      </c>
      <c r="E202" s="1" t="s">
        <v>225</v>
      </c>
      <c r="F202" s="1">
        <v>6.0</v>
      </c>
      <c r="G202" s="1">
        <v>6.2</v>
      </c>
      <c r="H202" s="1">
        <v>6.1</v>
      </c>
      <c r="I202" s="1">
        <v>6.4</v>
      </c>
      <c r="J202" s="1">
        <v>3.5</v>
      </c>
      <c r="K202" s="1">
        <f t="shared" si="1"/>
        <v>5.64</v>
      </c>
      <c r="L202" s="7" t="s">
        <v>486</v>
      </c>
      <c r="M202" s="1" t="s">
        <v>176</v>
      </c>
    </row>
    <row r="203">
      <c r="A203" s="1" t="s">
        <v>487</v>
      </c>
      <c r="B203" s="1" t="s">
        <v>24</v>
      </c>
      <c r="C203" s="3">
        <v>7.0</v>
      </c>
      <c r="D203" s="4">
        <v>45963.0</v>
      </c>
      <c r="E203" s="1" t="s">
        <v>120</v>
      </c>
      <c r="F203" s="1">
        <v>4.3</v>
      </c>
      <c r="G203" s="1">
        <v>4.6</v>
      </c>
      <c r="H203" s="1">
        <v>6.3</v>
      </c>
      <c r="I203" s="1">
        <v>5.8</v>
      </c>
      <c r="J203" s="1">
        <v>6.8</v>
      </c>
      <c r="K203" s="1">
        <f t="shared" si="1"/>
        <v>5.56</v>
      </c>
      <c r="L203" s="7" t="s">
        <v>488</v>
      </c>
      <c r="M203" s="1" t="s">
        <v>176</v>
      </c>
      <c r="N203" s="6">
        <f t="shared" ref="N203:N209" si="10">AVERAGE(F203,G203,I203,J203)</f>
        <v>5.375</v>
      </c>
    </row>
    <row r="204">
      <c r="A204" s="1" t="s">
        <v>489</v>
      </c>
      <c r="B204" s="1" t="s">
        <v>15</v>
      </c>
      <c r="C204" s="3">
        <v>6.0</v>
      </c>
      <c r="D204" s="4">
        <v>44859.0</v>
      </c>
      <c r="E204" s="1" t="s">
        <v>70</v>
      </c>
      <c r="F204" s="1">
        <v>4.7</v>
      </c>
      <c r="G204" s="1">
        <v>5.9</v>
      </c>
      <c r="H204" s="1">
        <v>5.7</v>
      </c>
      <c r="I204" s="1">
        <v>3.5</v>
      </c>
      <c r="J204" s="1">
        <v>7.5</v>
      </c>
      <c r="K204" s="1">
        <f t="shared" si="1"/>
        <v>5.46</v>
      </c>
      <c r="L204" s="5"/>
      <c r="N204" s="6">
        <f t="shared" si="10"/>
        <v>5.4</v>
      </c>
    </row>
    <row r="205">
      <c r="A205" s="1" t="s">
        <v>490</v>
      </c>
      <c r="B205" s="1" t="s">
        <v>15</v>
      </c>
      <c r="C205" s="3">
        <v>7.25</v>
      </c>
      <c r="D205" s="4">
        <v>45969.0</v>
      </c>
      <c r="E205" s="1" t="s">
        <v>491</v>
      </c>
      <c r="F205" s="1">
        <v>5.7</v>
      </c>
      <c r="G205" s="1">
        <v>6.3</v>
      </c>
      <c r="H205" s="1">
        <v>4.1</v>
      </c>
      <c r="I205" s="1">
        <v>5.2</v>
      </c>
      <c r="J205" s="1">
        <v>5.4</v>
      </c>
      <c r="K205" s="1">
        <f t="shared" si="1"/>
        <v>5.34</v>
      </c>
      <c r="L205" s="7" t="s">
        <v>492</v>
      </c>
      <c r="M205" s="1" t="s">
        <v>176</v>
      </c>
      <c r="N205" s="6">
        <f t="shared" si="10"/>
        <v>5.65</v>
      </c>
    </row>
    <row r="206">
      <c r="A206" s="1" t="s">
        <v>493</v>
      </c>
      <c r="B206" s="1" t="s">
        <v>15</v>
      </c>
      <c r="C206" s="3">
        <v>6.9</v>
      </c>
      <c r="D206" s="4">
        <v>45724.0</v>
      </c>
      <c r="E206" s="1" t="s">
        <v>494</v>
      </c>
      <c r="F206" s="1">
        <v>6.2</v>
      </c>
      <c r="G206" s="1">
        <v>5.8</v>
      </c>
      <c r="H206" s="1">
        <v>6.9</v>
      </c>
      <c r="I206" s="1">
        <v>6.3</v>
      </c>
      <c r="J206" s="1">
        <v>1.3</v>
      </c>
      <c r="K206" s="1">
        <f t="shared" si="1"/>
        <v>5.3</v>
      </c>
      <c r="L206" s="7" t="s">
        <v>495</v>
      </c>
      <c r="M206" s="1" t="s">
        <v>48</v>
      </c>
      <c r="N206" s="6">
        <f t="shared" si="10"/>
        <v>4.9</v>
      </c>
    </row>
    <row r="207">
      <c r="A207" s="1" t="s">
        <v>496</v>
      </c>
      <c r="B207" s="1" t="s">
        <v>15</v>
      </c>
      <c r="C207" s="3">
        <v>6.0</v>
      </c>
      <c r="D207" s="4">
        <v>44835.0</v>
      </c>
      <c r="E207" s="1" t="s">
        <v>497</v>
      </c>
      <c r="F207" s="1">
        <v>4.4</v>
      </c>
      <c r="G207" s="1">
        <v>4.8</v>
      </c>
      <c r="H207" s="1">
        <v>4.3</v>
      </c>
      <c r="I207" s="1">
        <v>5.9</v>
      </c>
      <c r="J207" s="1">
        <v>5.2</v>
      </c>
      <c r="K207" s="1">
        <f t="shared" si="1"/>
        <v>4.92</v>
      </c>
      <c r="L207" s="5"/>
      <c r="N207" s="6">
        <f t="shared" si="10"/>
        <v>5.075</v>
      </c>
    </row>
    <row r="208">
      <c r="A208" s="1" t="s">
        <v>498</v>
      </c>
      <c r="B208" s="1" t="s">
        <v>40</v>
      </c>
      <c r="C208" s="3">
        <v>6.4</v>
      </c>
      <c r="D208" s="1" t="s">
        <v>20</v>
      </c>
      <c r="E208" s="1" t="s">
        <v>253</v>
      </c>
      <c r="F208" s="1">
        <v>3.5</v>
      </c>
      <c r="G208" s="1">
        <v>5.5</v>
      </c>
      <c r="H208" s="1">
        <v>4.5</v>
      </c>
      <c r="I208" s="1">
        <v>6.6</v>
      </c>
      <c r="J208" s="1">
        <v>2.9</v>
      </c>
      <c r="K208" s="1">
        <f t="shared" si="1"/>
        <v>4.6</v>
      </c>
      <c r="L208" s="7" t="s">
        <v>499</v>
      </c>
      <c r="N208" s="6">
        <f t="shared" si="10"/>
        <v>4.625</v>
      </c>
    </row>
    <row r="209">
      <c r="A209" s="1" t="s">
        <v>500</v>
      </c>
      <c r="B209" s="3" t="s">
        <v>24</v>
      </c>
      <c r="C209" s="3">
        <v>5.0</v>
      </c>
      <c r="D209" s="4">
        <v>44765.0</v>
      </c>
      <c r="E209" s="1" t="s">
        <v>25</v>
      </c>
      <c r="F209" s="1">
        <v>3.6</v>
      </c>
      <c r="G209" s="1">
        <v>6.0</v>
      </c>
      <c r="H209" s="1">
        <v>3.6</v>
      </c>
      <c r="I209" s="1">
        <v>2.0</v>
      </c>
      <c r="J209" s="1">
        <v>5.3</v>
      </c>
      <c r="K209" s="1">
        <f t="shared" si="1"/>
        <v>4.1</v>
      </c>
      <c r="L209" s="5"/>
      <c r="N209" s="6">
        <f t="shared" si="10"/>
        <v>4.225</v>
      </c>
    </row>
    <row r="210">
      <c r="A210" s="1"/>
    </row>
    <row r="211">
      <c r="A211" s="1" t="s">
        <v>501</v>
      </c>
    </row>
    <row r="212">
      <c r="A212" s="1" t="s">
        <v>502</v>
      </c>
    </row>
    <row r="213">
      <c r="A213" s="1"/>
    </row>
    <row r="214">
      <c r="A214" s="1"/>
    </row>
    <row r="215">
      <c r="A215" s="1"/>
    </row>
    <row r="216">
      <c r="A216" s="1"/>
    </row>
    <row r="217">
      <c r="A217" s="1"/>
    </row>
    <row r="218">
      <c r="A218" s="1"/>
    </row>
    <row r="219">
      <c r="A219" s="1"/>
    </row>
    <row r="220">
      <c r="A220" s="1"/>
    </row>
    <row r="221">
      <c r="A221" s="1"/>
    </row>
    <row r="222">
      <c r="A222" s="1"/>
    </row>
    <row r="223">
      <c r="A223" s="1"/>
    </row>
    <row r="224">
      <c r="A224" s="1"/>
    </row>
    <row r="225">
      <c r="A225" s="1"/>
    </row>
    <row r="226">
      <c r="A226" s="1"/>
    </row>
    <row r="227">
      <c r="A227" s="1"/>
    </row>
    <row r="228">
      <c r="A228" s="1"/>
    </row>
    <row r="229">
      <c r="A229" s="1"/>
    </row>
    <row r="230">
      <c r="A230" s="1"/>
    </row>
    <row r="231">
      <c r="A231" s="1"/>
    </row>
    <row r="232">
      <c r="A232" s="1"/>
    </row>
    <row r="233">
      <c r="A233" s="1"/>
    </row>
    <row r="234">
      <c r="A234" s="1"/>
    </row>
    <row r="235">
      <c r="A235" s="1"/>
    </row>
    <row r="236">
      <c r="A236" s="1"/>
    </row>
    <row r="237">
      <c r="A237" s="1"/>
    </row>
    <row r="238">
      <c r="A238" s="1"/>
    </row>
    <row r="239">
      <c r="A239" s="1"/>
    </row>
    <row r="240">
      <c r="A240" s="1"/>
    </row>
    <row r="241">
      <c r="A241" s="1"/>
    </row>
    <row r="242">
      <c r="A242" s="1"/>
    </row>
    <row r="243">
      <c r="A243" s="1"/>
    </row>
    <row r="244">
      <c r="A244" s="1"/>
    </row>
    <row r="245">
      <c r="A245" s="1"/>
    </row>
    <row r="246">
      <c r="A246" s="1"/>
    </row>
    <row r="247">
      <c r="A247" s="1"/>
    </row>
    <row r="248">
      <c r="A248" s="1"/>
    </row>
    <row r="249">
      <c r="A249" s="1"/>
    </row>
    <row r="250">
      <c r="A250" s="1"/>
    </row>
    <row r="251">
      <c r="A251" s="1"/>
    </row>
    <row r="252">
      <c r="A252" s="1"/>
    </row>
    <row r="253">
      <c r="A253" s="1"/>
    </row>
    <row r="254">
      <c r="A254" s="1"/>
    </row>
    <row r="255">
      <c r="A255" s="1"/>
    </row>
    <row r="256">
      <c r="A256" s="1"/>
    </row>
    <row r="257">
      <c r="A257" s="1"/>
    </row>
    <row r="258">
      <c r="A258" s="1"/>
    </row>
    <row r="259">
      <c r="A259" s="1"/>
    </row>
    <row r="260">
      <c r="A260" s="1"/>
    </row>
    <row r="261">
      <c r="A261" s="1"/>
    </row>
    <row r="262">
      <c r="A262" s="1"/>
    </row>
    <row r="263">
      <c r="A263" s="1"/>
    </row>
    <row r="264">
      <c r="A264" s="1"/>
    </row>
    <row r="265">
      <c r="A265" s="1"/>
    </row>
    <row r="266">
      <c r="A266" s="1"/>
    </row>
    <row r="267">
      <c r="A267" s="1"/>
    </row>
    <row r="268">
      <c r="A268" s="1"/>
    </row>
    <row r="269">
      <c r="A269" s="1"/>
    </row>
    <row r="270">
      <c r="A270" s="1"/>
    </row>
    <row r="271">
      <c r="A271" s="1"/>
    </row>
    <row r="272">
      <c r="A272" s="1"/>
    </row>
    <row r="273">
      <c r="A273" s="1"/>
    </row>
    <row r="274">
      <c r="A274" s="1"/>
    </row>
    <row r="275">
      <c r="A275" s="1"/>
    </row>
    <row r="276">
      <c r="A276" s="1"/>
    </row>
    <row r="277">
      <c r="A277" s="1"/>
    </row>
    <row r="278">
      <c r="A278" s="1"/>
    </row>
    <row r="279">
      <c r="A279" s="1"/>
    </row>
    <row r="280">
      <c r="A280" s="1"/>
    </row>
    <row r="281">
      <c r="A281" s="1"/>
    </row>
    <row r="282">
      <c r="A282" s="1"/>
    </row>
    <row r="283">
      <c r="A283" s="1"/>
    </row>
    <row r="284">
      <c r="A284" s="1"/>
    </row>
    <row r="285">
      <c r="A285" s="1"/>
    </row>
    <row r="286">
      <c r="A286" s="1"/>
    </row>
    <row r="287">
      <c r="A287" s="1"/>
    </row>
    <row r="288">
      <c r="A288" s="1"/>
    </row>
    <row r="289">
      <c r="A289" s="1"/>
    </row>
    <row r="290">
      <c r="A290" s="1"/>
    </row>
    <row r="291">
      <c r="A291" s="1"/>
    </row>
  </sheetData>
  <autoFilter ref="$A$1:$N$209">
    <sortState ref="A1:N209">
      <sortCondition descending="1" ref="K1:K209"/>
      <sortCondition ref="D1:D209"/>
      <sortCondition descending="1" ref="J1:J209"/>
      <sortCondition descending="1" ref="I1:I209"/>
      <sortCondition descending="1" ref="H1:H209"/>
      <sortCondition descending="1" ref="G1:G209"/>
      <sortCondition descending="1" ref="F1:F209"/>
      <sortCondition ref="C1:C209"/>
      <sortCondition descending="1" ref="N1:N209"/>
      <sortCondition ref="B1:B209"/>
      <sortCondition ref="A1:A209"/>
      <sortCondition ref="E1:E209"/>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2" max="2" width="17.13"/>
    <col customWidth="1" min="3" max="3" width="21.25"/>
    <col customWidth="1" min="4" max="5" width="19.75"/>
    <col customWidth="1" min="6" max="6" width="20.5"/>
  </cols>
  <sheetData>
    <row r="1">
      <c r="A1" s="14" t="s">
        <v>503</v>
      </c>
      <c r="B1" s="14" t="s">
        <v>504</v>
      </c>
      <c r="C1" s="14" t="s">
        <v>505</v>
      </c>
      <c r="D1" s="14" t="s">
        <v>506</v>
      </c>
      <c r="E1" s="14" t="s">
        <v>507</v>
      </c>
      <c r="F1" s="15"/>
    </row>
    <row r="2">
      <c r="A2" s="1" t="s">
        <v>508</v>
      </c>
      <c r="B2" s="9">
        <f>COUNTIF('Pub Ratings'!E$2:E$209, "*Saul*")</f>
        <v>181</v>
      </c>
      <c r="C2" s="16">
        <f>AVERAGEIF('Pub Ratings'!E:E, "*Saul*", 'Pub Ratings'!K:K)</f>
        <v>7.155027624</v>
      </c>
      <c r="D2" s="17">
        <f>B2/E25</f>
        <v>0.8080357143</v>
      </c>
      <c r="E2" s="3">
        <f>SUMIF('Pub Ratings'!E:E, "*Saul*", 'Pub Ratings'!C:C)</f>
        <v>983.25</v>
      </c>
    </row>
    <row r="3">
      <c r="A3" s="1" t="s">
        <v>509</v>
      </c>
      <c r="B3" s="9">
        <f>COUNTIF('Pub Ratings'!E$2:E$209, "*Martin*")</f>
        <v>136</v>
      </c>
      <c r="C3" s="16">
        <f>AVERAGEIF('Pub Ratings'!E:E, "*Martin*", 'Pub Ratings'!K:K)</f>
        <v>7.199852941</v>
      </c>
      <c r="D3" s="17">
        <f>B3/E25</f>
        <v>0.6071428571</v>
      </c>
      <c r="E3" s="3">
        <f>SUMIF('Pub Ratings'!E:E, "*Martin*", 'Pub Ratings'!C:C)</f>
        <v>765.55</v>
      </c>
    </row>
    <row r="4">
      <c r="A4" s="1" t="s">
        <v>510</v>
      </c>
      <c r="B4" s="9">
        <f>COUNTIF('Pub Ratings'!E$2:E$209, "*Cam*")</f>
        <v>113</v>
      </c>
      <c r="C4" s="16">
        <f>AVERAGEIF('Pub Ratings'!E:E, "*Cam*", 'Pub Ratings'!K:K)</f>
        <v>7.135752212</v>
      </c>
      <c r="D4" s="17">
        <f>B4/E25</f>
        <v>0.5044642857</v>
      </c>
      <c r="E4" s="3">
        <f>SUMIF('Pub Ratings'!E:E, "*Cam*", 'Pub Ratings'!C:C)</f>
        <v>633.75</v>
      </c>
    </row>
    <row r="5">
      <c r="A5" s="1" t="s">
        <v>511</v>
      </c>
      <c r="B5" s="9">
        <f>COUNTIF('Pub Ratings'!E$2:E$209, "*Kevin*")</f>
        <v>96</v>
      </c>
      <c r="C5" s="16">
        <f>AVERAGEIF('Pub Ratings'!E:E, "*Kevin*", 'Pub Ratings'!K:K)</f>
        <v>7.012916667</v>
      </c>
      <c r="D5" s="17">
        <f>B5/E25</f>
        <v>0.4285714286</v>
      </c>
      <c r="E5" s="3">
        <f>SUMIF('Pub Ratings'!E:E, "*Kevin*", 'Pub Ratings'!C:C)</f>
        <v>565.6</v>
      </c>
    </row>
    <row r="6">
      <c r="A6" s="1" t="s">
        <v>512</v>
      </c>
      <c r="B6" s="9">
        <f>COUNTIF('Pub Ratings'!E:E, "*Matthew*")</f>
        <v>87</v>
      </c>
      <c r="C6" s="16">
        <f>AVERAGEIF('Pub Ratings'!E:E, "*Matthew*", 'Pub Ratings'!K:K)</f>
        <v>7.190804598</v>
      </c>
      <c r="D6" s="17">
        <f>B6/E25</f>
        <v>0.3883928571</v>
      </c>
      <c r="E6" s="3">
        <f>SUMIF('Pub Ratings'!E:E, "*Matthew*", 'Pub Ratings'!C:C)</f>
        <v>494.95</v>
      </c>
    </row>
    <row r="7">
      <c r="A7" s="1" t="s">
        <v>513</v>
      </c>
      <c r="B7" s="9">
        <f>COUNTIF('Pub Ratings'!E$2:E$209, "*Adam*")</f>
        <v>81</v>
      </c>
      <c r="C7" s="16">
        <f>AVERAGEIF('Pub Ratings'!E:E, "*Adam*", 'Pub Ratings'!K:K)</f>
        <v>7.057777778</v>
      </c>
      <c r="D7" s="17">
        <f>B7/E25</f>
        <v>0.3616071429</v>
      </c>
      <c r="E7" s="3">
        <f>SUMIF('Pub Ratings'!E:E, "*Adam*", 'Pub Ratings'!C:C)</f>
        <v>447.1</v>
      </c>
    </row>
    <row r="8">
      <c r="A8" s="1" t="s">
        <v>514</v>
      </c>
      <c r="B8" s="9">
        <f>COUNTIF('Pub Ratings'!E$2:E$209, "*Fred*")</f>
        <v>76</v>
      </c>
      <c r="C8" s="16">
        <f>AVERAGEIF('Pub Ratings'!E:E, "*Fred*", 'Pub Ratings'!K:K)</f>
        <v>7.07</v>
      </c>
      <c r="D8" s="17">
        <f>B8/E25</f>
        <v>0.3392857143</v>
      </c>
      <c r="E8" s="3">
        <f>SUMIF('Pub Ratings'!E:E, "*Fred*", 'Pub Ratings'!C:C)</f>
        <v>424.45</v>
      </c>
    </row>
    <row r="9">
      <c r="A9" s="1" t="s">
        <v>515</v>
      </c>
      <c r="B9" s="9">
        <f>COUNTIF('Pub Ratings'!E$2:E$209, "*Mark*")</f>
        <v>60</v>
      </c>
      <c r="C9" s="16">
        <f>AVERAGEIF('Pub Ratings'!E:E, "*Mark*", 'Pub Ratings'!K:K)</f>
        <v>7.199666667</v>
      </c>
      <c r="D9" s="17">
        <f>B9/E25</f>
        <v>0.2678571429</v>
      </c>
      <c r="E9" s="3">
        <f>SUMIF('Pub Ratings'!E:E, "*Mark*", 'Pub Ratings'!C:C)</f>
        <v>318.4</v>
      </c>
    </row>
    <row r="10">
      <c r="A10" s="1" t="s">
        <v>516</v>
      </c>
      <c r="B10" s="9">
        <f>COUNTIF('Pub Ratings'!E$2:E$209, "*Sophie*")</f>
        <v>58</v>
      </c>
      <c r="C10" s="16">
        <f>AVERAGEIF('Pub Ratings'!E:E, "*Sophie*", 'Pub Ratings'!K:K)</f>
        <v>7.079655172</v>
      </c>
      <c r="D10" s="17">
        <f>B10/E25</f>
        <v>0.2589285714</v>
      </c>
      <c r="E10" s="3">
        <f>SUMIF('Pub Ratings'!E:E, "*Sophie*", 'Pub Ratings'!C:C)</f>
        <v>332.3</v>
      </c>
    </row>
    <row r="11">
      <c r="A11" s="1" t="s">
        <v>517</v>
      </c>
      <c r="B11" s="9">
        <f>COUNTIF('Pub Ratings'!E$2:E$209, "*Alan*")</f>
        <v>40</v>
      </c>
      <c r="C11" s="16">
        <f>AVERAGEIF('Pub Ratings'!E:E, "*Alan*", 'Pub Ratings'!K:K)</f>
        <v>7.183</v>
      </c>
      <c r="D11" s="17">
        <f>B11/E25</f>
        <v>0.1785714286</v>
      </c>
      <c r="E11" s="3">
        <f>SUMIF('Pub Ratings'!E:E, "*Alan*", 'Pub Ratings'!C:C)</f>
        <v>220.05</v>
      </c>
    </row>
    <row r="12">
      <c r="A12" s="1" t="s">
        <v>518</v>
      </c>
      <c r="B12" s="9">
        <f>COUNTIF('Pub Ratings'!E$2:E$209, "*Podge*")</f>
        <v>30</v>
      </c>
      <c r="C12" s="16">
        <f>AVERAGEIF('Pub Ratings'!E:E, "*Podge*", 'Pub Ratings'!K:K)</f>
        <v>7.349333333</v>
      </c>
      <c r="D12" s="17">
        <f>B12/E25</f>
        <v>0.1339285714</v>
      </c>
      <c r="E12" s="3">
        <f>SUMIF('Pub Ratings'!E:E, "*Podge*", 'Pub Ratings'!C:C)</f>
        <v>167.25</v>
      </c>
    </row>
    <row r="13">
      <c r="A13" s="1" t="s">
        <v>519</v>
      </c>
      <c r="B13" s="9">
        <f>COUNTIF('Pub Ratings'!E$2:E$209, "*Padraig*")</f>
        <v>30</v>
      </c>
      <c r="C13" s="16">
        <f>AVERAGEIF('Pub Ratings'!E:E, "*Padraig*", 'Pub Ratings'!K:K)</f>
        <v>7.019333333</v>
      </c>
      <c r="D13" s="17">
        <f>B13/E25</f>
        <v>0.1339285714</v>
      </c>
      <c r="E13" s="3">
        <f>SUMIF('Pub Ratings'!E:E, "*Padraig*", 'Pub Ratings'!C:C)</f>
        <v>138.3</v>
      </c>
    </row>
    <row r="14">
      <c r="A14" s="1" t="s">
        <v>520</v>
      </c>
      <c r="B14" s="9">
        <f>COUNTIF('Pub Ratings'!E$2:E$209, "*Manus*")</f>
        <v>18</v>
      </c>
      <c r="C14" s="16">
        <f>AVERAGEIF('Pub Ratings'!E:E, "*Manus*", 'Pub Ratings'!K:K)</f>
        <v>7.325555556</v>
      </c>
      <c r="D14" s="17">
        <f>B14/E25</f>
        <v>0.08035714286</v>
      </c>
      <c r="E14" s="3">
        <f>SUMIF('Pub Ratings'!E:E, "*Manus*", 'Pub Ratings'!C:C)</f>
        <v>105.75</v>
      </c>
      <c r="F14" s="18"/>
    </row>
    <row r="15">
      <c r="A15" s="1" t="s">
        <v>521</v>
      </c>
      <c r="B15" s="9">
        <f>COUNTIF('Pub Ratings'!E:E, "*Sadhbh N*")</f>
        <v>16</v>
      </c>
      <c r="C15" s="16">
        <f>AVERAGEIF('Pub Ratings'!E:E, "*Sadhbh N*", 'Pub Ratings'!K:K)</f>
        <v>7.05875</v>
      </c>
      <c r="D15" s="17">
        <f>B15/E25</f>
        <v>0.07142857143</v>
      </c>
      <c r="E15" s="3">
        <f>SUMIF('Pub Ratings'!E:E, "*Sadhbh N*", 'Pub Ratings'!C:C)</f>
        <v>101.45</v>
      </c>
    </row>
    <row r="16">
      <c r="A16" s="1" t="s">
        <v>522</v>
      </c>
      <c r="B16" s="9">
        <f>COUNTIF('Pub Ratings'!E$2:E$209, "*Sadhbh D*")</f>
        <v>6</v>
      </c>
      <c r="C16" s="16">
        <f>AVERAGEIF('Pub Ratings'!E:E, "*Sadhbh D*", 'Pub Ratings'!K:K)</f>
        <v>6.793333333</v>
      </c>
      <c r="D16" s="17">
        <f>B16/E25</f>
        <v>0.02678571429</v>
      </c>
      <c r="E16" s="3">
        <f>SUMIF('Pub Ratings'!E:E, "*Sadhbh D*", 'Pub Ratings'!C:C)</f>
        <v>39.15</v>
      </c>
    </row>
    <row r="17">
      <c r="A17" s="1" t="s">
        <v>523</v>
      </c>
      <c r="B17" s="9">
        <f>COUNTIF('Pub Ratings'!E$2:E$209, "*Rachael*")</f>
        <v>4</v>
      </c>
      <c r="C17" s="16">
        <f>AVERAGEIF('Pub Ratings'!E:E, "*Rachael*", 'Pub Ratings'!K:K)</f>
        <v>6.95</v>
      </c>
      <c r="D17" s="17">
        <f>B17/E25</f>
        <v>0.01785714286</v>
      </c>
      <c r="E17" s="3">
        <f>SUMIF('Pub Ratings'!E:E, "*Rachael*", 'Pub Ratings'!C:C)</f>
        <v>25.2</v>
      </c>
    </row>
    <row r="18">
      <c r="A18" s="1" t="s">
        <v>524</v>
      </c>
      <c r="B18" s="9">
        <f>COUNTIF('Pub Ratings'!E$2:E$209, "*Rebecca*")</f>
        <v>3</v>
      </c>
      <c r="C18" s="16">
        <f>AVERAGEIF('Pub Ratings'!E:E, "*Rebecca*", 'Pub Ratings'!K:K)</f>
        <v>6.313333333</v>
      </c>
      <c r="D18" s="17">
        <f>B18/E25</f>
        <v>0.01339285714</v>
      </c>
      <c r="E18" s="3">
        <f>SUMIF('Pub Ratings'!E:E, "*Rebecca*", 'Pub Ratings'!C:C)</f>
        <v>19.1</v>
      </c>
    </row>
    <row r="19">
      <c r="A19" s="1" t="s">
        <v>525</v>
      </c>
      <c r="B19" s="9">
        <f>COUNTIF('Pub Ratings'!E$2:E$209, "*Thomas*")</f>
        <v>1</v>
      </c>
      <c r="C19" s="16">
        <f>AVERAGEIF('Pub Ratings'!E:E, "*Thomas*", 'Pub Ratings'!K:K)</f>
        <v>7.04</v>
      </c>
      <c r="D19" s="17">
        <f>B19/E25</f>
        <v>0.004464285714</v>
      </c>
      <c r="E19" s="3">
        <f>SUMIF('Pub Ratings'!E:E, "*Thomas*", 'Pub Ratings'!C:C)</f>
        <v>6.9</v>
      </c>
    </row>
    <row r="21">
      <c r="C21" s="19"/>
      <c r="D21" s="19" t="s">
        <v>526</v>
      </c>
      <c r="E21" s="20">
        <f>SUM(E1:E19)</f>
        <v>5788.5</v>
      </c>
    </row>
    <row r="22">
      <c r="C22" s="19"/>
      <c r="D22" s="19"/>
      <c r="E22" s="9"/>
    </row>
    <row r="23">
      <c r="C23" s="19"/>
      <c r="D23" s="19" t="s">
        <v>527</v>
      </c>
      <c r="E23" s="21">
        <f>sum(B2:B19)</f>
        <v>1036</v>
      </c>
    </row>
    <row r="25">
      <c r="C25" s="22"/>
      <c r="D25" s="22" t="s">
        <v>528</v>
      </c>
      <c r="E25" s="21">
        <v>224.0</v>
      </c>
    </row>
    <row r="26">
      <c r="C26" s="22"/>
      <c r="D26" s="22"/>
      <c r="E26" s="23"/>
    </row>
    <row r="27">
      <c r="C27" s="22"/>
      <c r="D27" s="22" t="s">
        <v>529</v>
      </c>
      <c r="E27" s="23">
        <f>224/632</f>
        <v>0.3544303797</v>
      </c>
    </row>
  </sheetData>
  <autoFilter ref="$A$1:$E$19">
    <sortState ref="A1:E19">
      <sortCondition descending="1" ref="C1:C19"/>
      <sortCondition descending="1" ref="B1:B19"/>
      <sortCondition descending="1" ref="E1:E19"/>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38"/>
    <col customWidth="1" min="3" max="3" width="23.88"/>
    <col customWidth="1" min="4" max="4" width="23.38"/>
    <col customWidth="1" min="5" max="5" width="23.63"/>
    <col customWidth="1" min="6" max="6" width="23.5"/>
  </cols>
  <sheetData>
    <row r="2">
      <c r="B2" s="24" t="s">
        <v>530</v>
      </c>
      <c r="C2" s="24" t="s">
        <v>531</v>
      </c>
      <c r="D2" s="24" t="s">
        <v>532</v>
      </c>
      <c r="E2" s="24" t="s">
        <v>533</v>
      </c>
      <c r="F2" s="24" t="s">
        <v>534</v>
      </c>
    </row>
    <row r="3">
      <c r="B3" s="25">
        <f>CORREL('Pub Ratings'!F:F,'Pub Ratings'!K:K)</f>
        <v>0.8727088033</v>
      </c>
      <c r="C3" s="25">
        <f>CORREL('Pub Ratings'!G:G,'Pub Ratings'!K:K)</f>
        <v>0.8356224177</v>
      </c>
      <c r="D3" s="25">
        <f>CORREL('Pub Ratings'!H:H,'Pub Ratings'!K:K)</f>
        <v>0.7439736446</v>
      </c>
      <c r="E3" s="25">
        <f>CORREL('Pub Ratings'!I:I,'Pub Ratings'!K:K)</f>
        <v>0.7460203519</v>
      </c>
      <c r="F3" s="25">
        <f>CORREL('Pub Ratings'!J:J,'Pub Ratings'!K:K)</f>
        <v>0.6953727326</v>
      </c>
    </row>
    <row r="5">
      <c r="B5" s="26"/>
    </row>
    <row r="6">
      <c r="B6" s="24" t="s">
        <v>535</v>
      </c>
      <c r="C6" s="24" t="s">
        <v>536</v>
      </c>
    </row>
    <row r="7">
      <c r="B7" s="27">
        <v>44713.0</v>
      </c>
      <c r="C7" s="28">
        <f>AVERAGEIFS('Pub Ratings'!C:C, 'Pub Ratings'!D:D, "&gt;="&amp;B7, 'Pub Ratings'!D:D, "&lt;"&amp;B8)</f>
        <v>5.583333333</v>
      </c>
    </row>
    <row r="8">
      <c r="B8" s="27">
        <f t="shared" ref="B8:B47" si="1">EOMONTH(B7, 0) + 1</f>
        <v>44743</v>
      </c>
      <c r="C8" s="28">
        <f>AVERAGEIFS('Pub Ratings'!C:C, 'Pub Ratings'!D:D, "&gt;="&amp;B8, 'Pub Ratings'!D:D, "&lt;"&amp;B9)</f>
        <v>5.745454545</v>
      </c>
    </row>
    <row r="9">
      <c r="B9" s="27">
        <f t="shared" si="1"/>
        <v>44774</v>
      </c>
      <c r="C9" s="28">
        <f>AVERAGEIFS('Pub Ratings'!C:C, 'Pub Ratings'!D:D, "&gt;="&amp;B9, 'Pub Ratings'!D:D, "&lt;"&amp;B10)</f>
        <v>5.683333333</v>
      </c>
    </row>
    <row r="10">
      <c r="B10" s="27">
        <f t="shared" si="1"/>
        <v>44805</v>
      </c>
      <c r="C10" s="28">
        <f>AVERAGEIFS('Pub Ratings'!C:C, 'Pub Ratings'!D:D, "&gt;="&amp;B10, 'Pub Ratings'!D:D, "&lt;"&amp;B11)</f>
        <v>5.642857143</v>
      </c>
    </row>
    <row r="11">
      <c r="B11" s="27">
        <f t="shared" si="1"/>
        <v>44835</v>
      </c>
      <c r="C11" s="28">
        <f>AVERAGEIFS('Pub Ratings'!C:C, 'Pub Ratings'!D:D, "&gt;="&amp;B11, 'Pub Ratings'!D:D, "&lt;"&amp;B12)</f>
        <v>5.607142857</v>
      </c>
    </row>
    <row r="12">
      <c r="B12" s="27">
        <f t="shared" si="1"/>
        <v>44866</v>
      </c>
      <c r="C12" s="28">
        <f>AVERAGEIFS('Pub Ratings'!C:C, 'Pub Ratings'!D:D, "&gt;="&amp;B12, 'Pub Ratings'!D:D, "&lt;"&amp;B13)</f>
        <v>5.688888889</v>
      </c>
    </row>
    <row r="13">
      <c r="B13" s="27">
        <f t="shared" si="1"/>
        <v>44896</v>
      </c>
      <c r="C13" s="28">
        <f>AVERAGEIFS('Pub Ratings'!C:C, 'Pub Ratings'!D:D, "&gt;="&amp;B13, 'Pub Ratings'!D:D, "&lt;"&amp;B14)</f>
        <v>5.585714286</v>
      </c>
    </row>
    <row r="14">
      <c r="B14" s="27">
        <f t="shared" si="1"/>
        <v>44927</v>
      </c>
      <c r="C14" s="29">
        <f>AVERAGEIFS('Pub Ratings'!C:C, 'Pub Ratings'!D:D, "&gt;="&amp;B13, 'Pub Ratings'!D:D, "&lt;"&amp;B14)</f>
        <v>5.585714286</v>
      </c>
    </row>
    <row r="15">
      <c r="B15" s="27">
        <f t="shared" si="1"/>
        <v>44958</v>
      </c>
      <c r="C15" s="29">
        <f>AVERAGEIFS('Pub Ratings'!C:C, 'Pub Ratings'!D:D, "&gt;="&amp;B13, 'Pub Ratings'!D:D, "&lt;"&amp;B14)</f>
        <v>5.585714286</v>
      </c>
    </row>
    <row r="16">
      <c r="B16" s="27">
        <f t="shared" si="1"/>
        <v>44986</v>
      </c>
      <c r="C16" s="29">
        <f>AVERAGEIFS('Pub Ratings'!C:C, 'Pub Ratings'!D:D, "&gt;="&amp;B13, 'Pub Ratings'!D:D, "&lt;"&amp;B14)</f>
        <v>5.585714286</v>
      </c>
    </row>
    <row r="17">
      <c r="B17" s="27">
        <f t="shared" si="1"/>
        <v>45017</v>
      </c>
      <c r="C17" s="29">
        <f>AVERAGEIFS('Pub Ratings'!C:C, 'Pub Ratings'!D:D, "&gt;="&amp;B13, 'Pub Ratings'!D:D, "&lt;"&amp;B14)</f>
        <v>5.585714286</v>
      </c>
    </row>
    <row r="18">
      <c r="B18" s="27">
        <f t="shared" si="1"/>
        <v>45047</v>
      </c>
      <c r="C18" s="28">
        <f>AVERAGEIFS('Pub Ratings'!C:C, 'Pub Ratings'!D:D, "&gt;="&amp;B18, 'Pub Ratings'!D:D, "&lt;"&amp;B19)</f>
        <v>6.2</v>
      </c>
    </row>
    <row r="19">
      <c r="B19" s="27">
        <f t="shared" si="1"/>
        <v>45078</v>
      </c>
      <c r="C19" s="29">
        <f>AVERAGEIFS('Pub Ratings'!C:C, 'Pub Ratings'!D:D, "&gt;="&amp;B18, 'Pub Ratings'!D:D, "&lt;"&amp;B19)</f>
        <v>6.2</v>
      </c>
    </row>
    <row r="20">
      <c r="B20" s="27">
        <f t="shared" si="1"/>
        <v>45108</v>
      </c>
      <c r="C20" s="28">
        <f>AVERAGEIFS('Pub Ratings'!C:C, 'Pub Ratings'!D:D, "&gt;="&amp;B20, 'Pub Ratings'!D:D, "&lt;"&amp;B21)</f>
        <v>6.5</v>
      </c>
    </row>
    <row r="21">
      <c r="B21" s="27">
        <f t="shared" si="1"/>
        <v>45139</v>
      </c>
      <c r="C21" s="29">
        <f>AVERAGEIFS('Pub Ratings'!C:C, 'Pub Ratings'!D:D, "&gt;="&amp;B20, 'Pub Ratings'!D:D, "&lt;"&amp;B21)</f>
        <v>6.5</v>
      </c>
    </row>
    <row r="22">
      <c r="B22" s="27">
        <f t="shared" si="1"/>
        <v>45170</v>
      </c>
      <c r="C22" s="29">
        <f>AVERAGEIFS('Pub Ratings'!C:C, 'Pub Ratings'!D:D, "&gt;="&amp;B20, 'Pub Ratings'!D:D, "&lt;"&amp;B21)</f>
        <v>6.5</v>
      </c>
    </row>
    <row r="23">
      <c r="B23" s="27">
        <f t="shared" si="1"/>
        <v>45200</v>
      </c>
      <c r="C23" s="29">
        <f>AVERAGEIFS('Pub Ratings'!C:C, 'Pub Ratings'!D:D, "&gt;="&amp;B20, 'Pub Ratings'!D:D, "&lt;"&amp;B21)</f>
        <v>6.5</v>
      </c>
    </row>
    <row r="24">
      <c r="B24" s="27">
        <f t="shared" si="1"/>
        <v>45231</v>
      </c>
      <c r="C24" s="28">
        <f>AVERAGEIFS('Pub Ratings'!C:C, 'Pub Ratings'!D:D, "&gt;="&amp;B24, 'Pub Ratings'!D:D, "&lt;"&amp;B25)</f>
        <v>5.875</v>
      </c>
    </row>
    <row r="25">
      <c r="B25" s="27">
        <f t="shared" si="1"/>
        <v>45261</v>
      </c>
      <c r="C25" s="28">
        <f>AVERAGEIFS('Pub Ratings'!C:C, 'Pub Ratings'!D:D, "&gt;="&amp;B25, 'Pub Ratings'!D:D, "&lt;"&amp;B26)</f>
        <v>6.2875</v>
      </c>
    </row>
    <row r="26">
      <c r="B26" s="27">
        <f t="shared" si="1"/>
        <v>45292</v>
      </c>
      <c r="C26" s="28">
        <f>AVERAGEIFS('Pub Ratings'!C:C, 'Pub Ratings'!D:D, "&gt;="&amp;B26, 'Pub Ratings'!D:D, "&lt;"&amp;B27)</f>
        <v>6.2</v>
      </c>
    </row>
    <row r="27">
      <c r="B27" s="27">
        <f t="shared" si="1"/>
        <v>45323</v>
      </c>
      <c r="C27" s="28">
        <f>AVERAGEIFS('Pub Ratings'!C:C, 'Pub Ratings'!D:D, "&gt;="&amp;B27, 'Pub Ratings'!D:D, "&lt;"&amp;B28)</f>
        <v>6.33</v>
      </c>
    </row>
    <row r="28">
      <c r="B28" s="27">
        <f t="shared" si="1"/>
        <v>45352</v>
      </c>
      <c r="C28" s="28">
        <f>AVERAGEIFS('Pub Ratings'!C:C, 'Pub Ratings'!D:D, "&gt;="&amp;B28, 'Pub Ratings'!D:D, "&lt;"&amp;B29)</f>
        <v>5.9</v>
      </c>
    </row>
    <row r="29">
      <c r="B29" s="27">
        <f t="shared" si="1"/>
        <v>45383</v>
      </c>
      <c r="C29" s="29">
        <f>AVERAGEIFS('Pub Ratings'!C:C, 'Pub Ratings'!D:D, "&gt;="&amp;B28, 'Pub Ratings'!D:D, "&lt;"&amp;B29)</f>
        <v>5.9</v>
      </c>
    </row>
    <row r="30">
      <c r="B30" s="27">
        <f t="shared" si="1"/>
        <v>45413</v>
      </c>
      <c r="C30" s="28">
        <f>AVERAGEIFS('Pub Ratings'!C:C, 'Pub Ratings'!D:D, "&gt;="&amp;B30, 'Pub Ratings'!D:D, "&lt;"&amp;B31)</f>
        <v>6.5</v>
      </c>
    </row>
    <row r="31">
      <c r="B31" s="27">
        <f t="shared" si="1"/>
        <v>45444</v>
      </c>
      <c r="C31" s="29">
        <f>AVERAGEIFS('Pub Ratings'!C:C, 'Pub Ratings'!D:D, "&gt;="&amp;B30, 'Pub Ratings'!D:D, "&lt;"&amp;B31)</f>
        <v>6.5</v>
      </c>
    </row>
    <row r="32">
      <c r="B32" s="27">
        <f t="shared" si="1"/>
        <v>45474</v>
      </c>
      <c r="C32" s="28">
        <f>AVERAGEIFS('Pub Ratings'!C:C, 'Pub Ratings'!D:D, "&gt;="&amp;B32, 'Pub Ratings'!D:D, "&lt;"&amp;B33)</f>
        <v>6.45</v>
      </c>
    </row>
    <row r="33">
      <c r="B33" s="27">
        <f t="shared" si="1"/>
        <v>45505</v>
      </c>
      <c r="C33" s="28">
        <f>AVERAGEIFS('Pub Ratings'!C:C, 'Pub Ratings'!D:D, "&gt;="&amp;B33, 'Pub Ratings'!D:D, "&lt;"&amp;B34)</f>
        <v>6.2</v>
      </c>
    </row>
    <row r="34">
      <c r="B34" s="27">
        <f t="shared" si="1"/>
        <v>45536</v>
      </c>
      <c r="C34" s="28">
        <f>AVERAGEIFS('Pub Ratings'!C:C, 'Pub Ratings'!D:D, "&gt;="&amp;B34, 'Pub Ratings'!D:D, "&lt;"&amp;B35)</f>
        <v>6.95</v>
      </c>
    </row>
    <row r="35">
      <c r="B35" s="27">
        <f t="shared" si="1"/>
        <v>45566</v>
      </c>
      <c r="C35" s="29">
        <f>AVERAGEIFS('Pub Ratings'!C:C, 'Pub Ratings'!D:D, "&gt;="&amp;B35, 'Pub Ratings'!D:D, "&lt;"&amp;B36)</f>
        <v>6.033333333</v>
      </c>
    </row>
    <row r="36">
      <c r="B36" s="27">
        <f t="shared" si="1"/>
        <v>45597</v>
      </c>
      <c r="C36" s="28">
        <f>AVERAGEIFS('Pub Ratings'!C:C, 'Pub Ratings'!D:D, "&gt;="&amp;B36, 'Pub Ratings'!D:D, "&lt;"&amp;B37)</f>
        <v>6.258333333</v>
      </c>
    </row>
    <row r="37">
      <c r="B37" s="27">
        <f t="shared" si="1"/>
        <v>45627</v>
      </c>
      <c r="C37" s="29">
        <f>AVERAGEIFS('Pub Ratings'!C:C, 'Pub Ratings'!D:D, "&gt;="&amp;B37, 'Pub Ratings'!D:D, "&lt;"&amp;B38)</f>
        <v>6.677272727</v>
      </c>
    </row>
    <row r="38">
      <c r="B38" s="27">
        <f t="shared" si="1"/>
        <v>45658</v>
      </c>
      <c r="C38" s="28">
        <f>AVERAGEIFS('Pub Ratings'!C:C, 'Pub Ratings'!D:D, "&gt;="&amp;B38, 'Pub Ratings'!D:D, "&lt;"&amp;B39)</f>
        <v>6.483333333</v>
      </c>
    </row>
    <row r="39">
      <c r="B39" s="27">
        <f t="shared" si="1"/>
        <v>45689</v>
      </c>
      <c r="C39" s="28">
        <f>AVERAGEIFS('Pub Ratings'!C:C, 'Pub Ratings'!D:D, "&gt;="&amp;B39, 'Pub Ratings'!D:D, "&lt;"&amp;B40)</f>
        <v>6.55</v>
      </c>
    </row>
    <row r="40">
      <c r="B40" s="27">
        <f t="shared" si="1"/>
        <v>45717</v>
      </c>
      <c r="C40" s="28">
        <f>AVERAGEIFS('Pub Ratings'!C:C, 'Pub Ratings'!D:D, "&gt;="&amp;B40, 'Pub Ratings'!D:D, "&lt;"&amp;B41)</f>
        <v>6.9</v>
      </c>
    </row>
    <row r="41">
      <c r="B41" s="27">
        <f t="shared" si="1"/>
        <v>45748</v>
      </c>
      <c r="C41" s="28">
        <f>AVERAGEIFS('Pub Ratings'!C:C, 'Pub Ratings'!D:D, "&gt;="&amp;B40, 'Pub Ratings'!D:D, "&lt;"&amp;B41)</f>
        <v>6.9</v>
      </c>
    </row>
    <row r="42">
      <c r="B42" s="27">
        <f t="shared" si="1"/>
        <v>45778</v>
      </c>
      <c r="C42" s="28">
        <f>AVERAGEIFS('Pub Ratings'!C:C, 'Pub Ratings'!D:D, "&gt;="&amp;B42, 'Pub Ratings'!D:D, "&lt;"&amp;B43)</f>
        <v>6.4</v>
      </c>
    </row>
    <row r="43">
      <c r="B43" s="27">
        <f t="shared" si="1"/>
        <v>45809</v>
      </c>
      <c r="C43" s="29">
        <f>AVERAGEIFS('Pub Ratings'!C:C, 'Pub Ratings'!D:D, "&gt;="&amp;B43, 'Pub Ratings'!D:D, "&lt;"&amp;B44)</f>
        <v>6.6</v>
      </c>
    </row>
    <row r="44">
      <c r="B44" s="27">
        <f t="shared" si="1"/>
        <v>45839</v>
      </c>
      <c r="C44" s="28">
        <f>AVERAGEIFS('Pub Ratings'!C:C, 'Pub Ratings'!D:D, "&gt;="&amp;B44, 'Pub Ratings'!D:D, "&lt;"&amp;B45)</f>
        <v>6.266666667</v>
      </c>
    </row>
    <row r="45">
      <c r="B45" s="27">
        <f t="shared" si="1"/>
        <v>45870</v>
      </c>
      <c r="C45" s="28">
        <f>AVERAGEIFS('Pub Ratings'!C:C, 'Pub Ratings'!D:D, "&gt;="&amp;B45, 'Pub Ratings'!D:D, "&lt;"&amp;B46)</f>
        <v>6.9</v>
      </c>
    </row>
    <row r="46">
      <c r="B46" s="27">
        <f t="shared" si="1"/>
        <v>45901</v>
      </c>
      <c r="C46" s="28">
        <f>AVERAGEIFS('Pub Ratings'!C:C, 'Pub Ratings'!D:D, "&gt;="&amp;B45, 'Pub Ratings'!D:D, "&lt;"&amp;B46)</f>
        <v>6.9</v>
      </c>
    </row>
    <row r="47">
      <c r="B47" s="27">
        <f t="shared" si="1"/>
        <v>45931</v>
      </c>
      <c r="C47" s="29">
        <f>AVERAGEIFS('Pub Ratings'!C:C, 'Pub Ratings'!D:D, "&gt;="&amp;B45, 'Pub Ratings'!D:D, "&lt;"&amp;B46)</f>
        <v>6.9</v>
      </c>
    </row>
    <row r="48">
      <c r="B48" s="27">
        <v>45962.0</v>
      </c>
      <c r="C48" s="29">
        <f>AVERAGEIFS('Pub Ratings'!C:C, 'Pub Ratings'!D:D, "&gt;="&amp;B48, 'Pub Ratings'!D:D, "&lt;"&amp;B49)</f>
        <v>6.8</v>
      </c>
    </row>
    <row r="49">
      <c r="B49" s="30">
        <v>45992.0</v>
      </c>
    </row>
    <row r="55">
      <c r="B55" s="15" t="s">
        <v>537</v>
      </c>
    </row>
    <row r="56">
      <c r="B56" s="1" t="s">
        <v>538</v>
      </c>
      <c r="C56" s="6">
        <f>COUNTIFS('Pub Ratings'!D2:D209, "&gt;=" &amp; DATE(2022,4,1),'Pub Ratings'!D2:D209, "&lt;=" &amp; DATE(2022,6,30))
</f>
        <v>12</v>
      </c>
    </row>
    <row r="57">
      <c r="B57" s="1" t="s">
        <v>539</v>
      </c>
      <c r="C57" s="6">
        <f>COUNTIFS('Pub Ratings'!D2:D209, "&gt;=" &amp; DATE(2022,7,1),'Pub Ratings'!D2:D209, "&lt;=" &amp; DATE(2022,9,30))
</f>
        <v>24</v>
      </c>
    </row>
    <row r="58">
      <c r="B58" s="1" t="s">
        <v>540</v>
      </c>
      <c r="C58" s="6">
        <f>COUNTIFS('Pub Ratings'!D2:D209, "&gt;=" &amp; DATE(2022,10,1),'Pub Ratings'!D2:D209, "&lt;=" &amp; DATE(2022,12,31))
</f>
        <v>40</v>
      </c>
    </row>
    <row r="59">
      <c r="B59" s="1" t="s">
        <v>541</v>
      </c>
      <c r="C59" s="6">
        <f>COUNTIFS('Pub Ratings'!D2:D209, "&gt;=" &amp; DATE(2023,1,1),'Pub Ratings'!D2:D209, "&lt;=" &amp; DATE(2023,3,31))
</f>
        <v>0</v>
      </c>
    </row>
    <row r="60">
      <c r="B60" s="1" t="s">
        <v>542</v>
      </c>
      <c r="C60" s="6">
        <f>COUNTIFS('Pub Ratings'!D2:D209, "&gt;=" &amp; DATE(2023,4,1),'Pub Ratings'!D2:D209, "&lt;=" &amp; DATE(2023,6,30))
</f>
        <v>2</v>
      </c>
    </row>
    <row r="61">
      <c r="B61" s="1" t="s">
        <v>543</v>
      </c>
      <c r="C61" s="6">
        <f>COUNTIFS('Pub Ratings'!D2:D209, "&gt;=" &amp; DATE(2023,7,1),'Pub Ratings'!D2:D209, "&lt;=" &amp; DATE(2023,9,30))
</f>
        <v>2</v>
      </c>
    </row>
    <row r="62">
      <c r="B62" s="1" t="s">
        <v>544</v>
      </c>
      <c r="C62" s="6">
        <f>COUNTIFS('Pub Ratings'!D2:D209, "&gt;=" &amp; DATE(2023,10,1),'Pub Ratings'!D2:D209, "&lt;=" &amp; DATE(2023,12,31))
</f>
        <v>17</v>
      </c>
    </row>
    <row r="63">
      <c r="B63" s="1" t="s">
        <v>545</v>
      </c>
      <c r="C63" s="6">
        <f>COUNTIFS('Pub Ratings'!D2:D209, "&gt;=" &amp; DATE(2024,1,1),'Pub Ratings'!D2:D209, "&lt;=" &amp; DATE(2024,3,31))
</f>
        <v>9</v>
      </c>
    </row>
    <row r="64">
      <c r="B64" s="1" t="s">
        <v>546</v>
      </c>
      <c r="C64" s="6">
        <f>COUNTIFS('Pub Ratings'!D2:D209, "&gt;=" &amp; DATE(2024,4,1),'Pub Ratings'!D2:D209, "&lt;=" &amp; DATE(2024,6,30))
</f>
        <v>1</v>
      </c>
    </row>
    <row r="65">
      <c r="B65" s="1" t="s">
        <v>547</v>
      </c>
      <c r="C65" s="6">
        <f>COUNTIFS('Pub Ratings'!D2:D209, "&gt;=" &amp; DATE(2024,7,1),'Pub Ratings'!D2:D209, "&lt;=" &amp; DATE(2024,9,30))
</f>
        <v>4</v>
      </c>
    </row>
    <row r="66">
      <c r="B66" s="1" t="s">
        <v>548</v>
      </c>
      <c r="C66" s="6">
        <f>COUNTIFS('Pub Ratings'!D2:D209, "&gt;=" &amp; DATE(2024,10,1),'Pub Ratings'!D2:D209, "&lt;=" &amp; DATE(2024,12,31))
</f>
        <v>25</v>
      </c>
    </row>
    <row r="67">
      <c r="B67" s="1" t="s">
        <v>549</v>
      </c>
      <c r="C67" s="6">
        <f>COUNTIFS('Pub Ratings'!D2:D209, "&gt;=" &amp; DATE(2025,1,1),'Pub Ratings'!D2:D209, "&lt;=" &amp; DATE(2025,3,31))
</f>
        <v>10</v>
      </c>
    </row>
    <row r="68">
      <c r="B68" s="1" t="s">
        <v>550</v>
      </c>
      <c r="C68" s="6">
        <f>COUNTIFS('Pub Ratings'!D2:D209, "&gt;=" &amp; DATE(2025,4,1),'Pub Ratings'!D2:D209, "&lt;=" &amp; DATE(2025,6,30))
</f>
        <v>3</v>
      </c>
    </row>
    <row r="69">
      <c r="B69" s="1" t="s">
        <v>551</v>
      </c>
      <c r="C69" s="6">
        <f>COUNTIFS('Pub Ratings'!D2:D209, "&gt;=" &amp; DATE(2025,7,1),'Pub Ratings'!D2:D209, "&lt;=" &amp; DATE(2025,9,30))
</f>
        <v>5</v>
      </c>
    </row>
    <row r="70">
      <c r="B70" s="1" t="s">
        <v>552</v>
      </c>
      <c r="C70" s="6">
        <f>COUNTIFS('Pub Ratings'!D2:D209, "&gt;=" &amp; DATE(2025,10,1),'Pub Ratings'!D2:D209, "&lt;=" &amp; DATE(2025,12,31))
</f>
        <v>18</v>
      </c>
    </row>
    <row r="71">
      <c r="B71" s="15" t="s">
        <v>553</v>
      </c>
      <c r="C71" s="31">
        <f>sum(C56:C70)</f>
        <v>172</v>
      </c>
    </row>
    <row r="72">
      <c r="B72" s="15" t="s">
        <v>554</v>
      </c>
      <c r="C72" s="15">
        <v>36.0</v>
      </c>
    </row>
    <row r="73">
      <c r="B73" s="15" t="s">
        <v>555</v>
      </c>
      <c r="C73" s="31">
        <f>sum(C71:C72)</f>
        <v>208</v>
      </c>
    </row>
    <row r="75">
      <c r="B75" s="1" t="s">
        <v>556</v>
      </c>
    </row>
    <row r="79">
      <c r="B79" s="1" t="s">
        <v>538</v>
      </c>
      <c r="C79" s="6">
        <f>COUNTIFS('Pub Ratings'!D25:D232, "&gt;=" &amp; DATE(2022,4,1),'Pub Ratings'!D25:D232, "&lt;=" &amp; DATE(2022,6,30))
</f>
        <v>8</v>
      </c>
    </row>
    <row r="80">
      <c r="B80" s="1" t="s">
        <v>539</v>
      </c>
      <c r="C80" s="6">
        <f>COUNTIFS('Pub Ratings'!D25:D232, "&gt;=" &amp; DATE(2022,7,1),'Pub Ratings'!D25:D232, "&lt;=" &amp; DATE(2022,9,30))
</f>
        <v>16</v>
      </c>
    </row>
    <row r="81">
      <c r="B81" s="1" t="s">
        <v>540</v>
      </c>
      <c r="C81" s="6">
        <f>COUNTIFS('Pub Ratings'!D25:D232, "&gt;=" &amp; DATE(2022,10,1),'Pub Ratings'!D25:D232, "&lt;=" &amp; DATE(2022,12,31))
</f>
        <v>34</v>
      </c>
    </row>
    <row r="82">
      <c r="B82" s="1" t="s">
        <v>541</v>
      </c>
      <c r="C82" s="6">
        <f>COUNTIFS('Pub Ratings'!D25:D232, "&gt;=" &amp; DATE(2023,1,1),'Pub Ratings'!D25:D232, "&lt;=" &amp; DATE(2023,3,31))
</f>
        <v>0</v>
      </c>
    </row>
    <row r="83">
      <c r="B83" s="1" t="s">
        <v>542</v>
      </c>
      <c r="C83" s="6">
        <f>COUNTIFS('Pub Ratings'!D25:D232, "&gt;=" &amp; DATE(2023,4,1),'Pub Ratings'!D25:D232, "&lt;=" &amp; DATE(2023,6,30))
</f>
        <v>2</v>
      </c>
    </row>
    <row r="84">
      <c r="B84" s="1" t="s">
        <v>543</v>
      </c>
      <c r="C84" s="6">
        <f>COUNTIFS('Pub Ratings'!D25:D232, "&gt;=" &amp; DATE(2023,7,1),'Pub Ratings'!D25:D232, "&lt;=" &amp; DATE(2023,9,30))
</f>
        <v>2</v>
      </c>
    </row>
    <row r="85">
      <c r="B85" s="1" t="s">
        <v>544</v>
      </c>
      <c r="C85" s="6">
        <f>COUNTIFS('Pub Ratings'!D25:D232, "&gt;=" &amp; DATE(2023,10,1),'Pub Ratings'!D25:D232, "&lt;=" &amp; DATE(2023,12,31))
</f>
        <v>17</v>
      </c>
    </row>
    <row r="86">
      <c r="B86" s="1" t="s">
        <v>545</v>
      </c>
      <c r="C86" s="6">
        <f>COUNTIFS('Pub Ratings'!D25:D232, "&gt;=" &amp; DATE(2024,1,1),'Pub Ratings'!D25:D232, "&lt;=" &amp; DATE(2024,3,31))
</f>
        <v>9</v>
      </c>
    </row>
    <row r="87">
      <c r="B87" s="1" t="s">
        <v>546</v>
      </c>
      <c r="C87" s="6">
        <f>COUNTIFS('Pub Ratings'!D25:D232, "&gt;=" &amp; DATE(2024,4,1),'Pub Ratings'!D25:D232, "&lt;=" &amp; DATE(2024,6,30))
</f>
        <v>1</v>
      </c>
    </row>
    <row r="88">
      <c r="B88" s="1" t="s">
        <v>547</v>
      </c>
      <c r="C88" s="6">
        <f>COUNTIFS('Pub Ratings'!D25:D232, "&gt;=" &amp; DATE(2024,7,1),'Pub Ratings'!D25:D232, "&lt;=" &amp; DATE(2024,9,30))
</f>
        <v>4</v>
      </c>
    </row>
    <row r="89">
      <c r="B89" s="1" t="s">
        <v>548</v>
      </c>
      <c r="C89" s="6">
        <f>COUNTIFS('Pub Ratings'!D25:D232, "&gt;=" &amp; DATE(2024,10,1),'Pub Ratings'!D25:D232, "&lt;=" &amp; DATE(2024,12,31))
</f>
        <v>24</v>
      </c>
    </row>
    <row r="90">
      <c r="B90" s="1" t="s">
        <v>549</v>
      </c>
      <c r="C90" s="6">
        <f>COUNTIFS('Pub Ratings'!D25:D232, "&gt;=" &amp; DATE(2025,1,1),'Pub Ratings'!D25:D232, "&lt;=" &amp; DATE(2025,3,31))
</f>
        <v>10</v>
      </c>
    </row>
    <row r="91">
      <c r="B91" s="1" t="s">
        <v>550</v>
      </c>
      <c r="C91" s="6">
        <f>COUNTIFS('Pub Ratings'!D25:D232, "&gt;=" &amp; DATE(2025,4,1),'Pub Ratings'!D25:D232, "&lt;=" &amp; DATE(2025,6,30))
</f>
        <v>3</v>
      </c>
    </row>
    <row r="92">
      <c r="B92" s="1" t="s">
        <v>551</v>
      </c>
      <c r="C92" s="6">
        <f>COUNTIFS('Pub Ratings'!D25:D232, "&gt;=" &amp; DATE(2025,7,1),'Pub Ratings'!D25:D232, "&lt;=" &amp; DATE(2025,9,30))
</f>
        <v>4</v>
      </c>
    </row>
    <row r="93">
      <c r="B93" s="1" t="s">
        <v>552</v>
      </c>
      <c r="C93" s="6">
        <f>COUNTIFS('Pub Ratings'!D25:D232, "&gt;=" &amp; DATE(2025,10,1),'Pub Ratings'!D25:D232, "&lt;=" &amp; DATE(2025,12,31))
</f>
        <v>18</v>
      </c>
    </row>
  </sheetData>
  <drawing r:id="rId1"/>
</worksheet>
</file>